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orialimentos-my.sharepoint.com/personal/lgmalves_dori_com_br/Documents/Projetos Logisticos/TMS/Cadastro de Rota/"/>
    </mc:Choice>
  </mc:AlternateContent>
  <xr:revisionPtr revIDLastSave="0" documentId="8_{D1026BB4-28E0-4584-AA85-C78A218642B9}" xr6:coauthVersionLast="47" xr6:coauthVersionMax="47" xr10:uidLastSave="{00000000-0000-0000-0000-000000000000}"/>
  <bookViews>
    <workbookView xWindow="-120" yWindow="-120" windowWidth="29040" windowHeight="15720" firstSheet="4" activeTab="4" xr2:uid="{EAF7A11A-A2AF-4CDB-8C94-EB6C7E9D4819}"/>
  </bookViews>
  <sheets>
    <sheet name="Itinerários RJ por transportado" sheetId="3" r:id="rId1"/>
    <sheet name="Itinerários por transportadora " sheetId="2" r:id="rId2"/>
    <sheet name="Itinerários MG por transportado" sheetId="5" r:id="rId3"/>
    <sheet name="Itinerários ES por transportado" sheetId="4" r:id="rId4"/>
    <sheet name="Planilha1" sheetId="1" r:id="rId5"/>
  </sheets>
  <definedNames>
    <definedName name="_xlnm._FilterDatabase" localSheetId="4" hidden="1">Planilha1!$A$1:$E$183</definedName>
    <definedName name="DadosExternos_1" localSheetId="3" hidden="1">'Itinerários ES por transportado'!$A$1:$C$294</definedName>
    <definedName name="DadosExternos_1" localSheetId="1" hidden="1">'Itinerários por transportadora '!$A$1:$C$1000</definedName>
    <definedName name="DadosExternos_2" localSheetId="2" hidden="1">'Itinerários MG por transportado'!$A$1:$C$984</definedName>
    <definedName name="DadosExternos_2" localSheetId="0" hidden="1">'Itinerários RJ por transportado'!$A$1:$C$643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1" i="1" l="1"/>
  <c r="F181" i="1"/>
  <c r="F17" i="1"/>
  <c r="F206" i="1"/>
  <c r="B136" i="1"/>
  <c r="F136" i="1"/>
  <c r="F222" i="1"/>
  <c r="F59" i="1"/>
  <c r="F36" i="1"/>
  <c r="F79" i="1"/>
  <c r="F55" i="1"/>
  <c r="B203" i="1"/>
  <c r="F203" i="1"/>
  <c r="F77" i="1"/>
  <c r="F165" i="1"/>
  <c r="F140" i="1"/>
  <c r="F110" i="1"/>
  <c r="F153" i="1"/>
  <c r="F121" i="1"/>
  <c r="F237" i="1"/>
  <c r="F66" i="1"/>
  <c r="B127" i="1"/>
  <c r="F127" i="1"/>
  <c r="F98" i="1"/>
  <c r="F241" i="1"/>
  <c r="F35" i="1"/>
  <c r="F226" i="1"/>
  <c r="F144" i="1"/>
  <c r="F169" i="1"/>
  <c r="F70" i="1"/>
  <c r="F215" i="1"/>
  <c r="B149" i="1"/>
  <c r="F149" i="1"/>
  <c r="F103" i="1"/>
  <c r="F21" i="1"/>
  <c r="B31" i="1"/>
  <c r="F31" i="1"/>
  <c r="F233" i="1"/>
  <c r="F185" i="1"/>
  <c r="B154" i="1"/>
  <c r="F154" i="1"/>
  <c r="F114" i="1"/>
  <c r="F27" i="1"/>
  <c r="F190" i="1"/>
  <c r="F173" i="1"/>
  <c r="F87" i="1"/>
  <c r="F132" i="1"/>
  <c r="F195" i="1"/>
  <c r="F51" i="1"/>
  <c r="F5" i="1"/>
  <c r="F93" i="1"/>
  <c r="F199" i="1"/>
  <c r="F83" i="1"/>
  <c r="F161" i="1"/>
  <c r="F106" i="1"/>
  <c r="F72" i="1"/>
  <c r="F229" i="1"/>
  <c r="F188" i="1"/>
  <c r="B44" i="1"/>
  <c r="F44" i="1"/>
  <c r="F62" i="1"/>
  <c r="F117" i="1"/>
  <c r="F8" i="1"/>
  <c r="B157" i="1"/>
  <c r="F157" i="1"/>
  <c r="B218" i="1"/>
  <c r="F218" i="1"/>
  <c r="A8" i="1"/>
  <c r="B8" i="1" s="1"/>
  <c r="A157" i="1"/>
  <c r="A218" i="1"/>
  <c r="A117" i="1"/>
  <c r="B117" i="1" s="1"/>
  <c r="A62" i="1"/>
  <c r="B62" i="1" s="1"/>
  <c r="A44" i="1"/>
  <c r="A188" i="1"/>
  <c r="B188" i="1" s="1"/>
  <c r="A229" i="1"/>
  <c r="B229" i="1" s="1"/>
  <c r="A72" i="1"/>
  <c r="B72" i="1" s="1"/>
  <c r="A106" i="1"/>
  <c r="B106" i="1" s="1"/>
  <c r="A161" i="1"/>
  <c r="B161" i="1" s="1"/>
  <c r="A83" i="1"/>
  <c r="B83" i="1" s="1"/>
  <c r="A199" i="1"/>
  <c r="B199" i="1" s="1"/>
  <c r="A93" i="1"/>
  <c r="B93" i="1" s="1"/>
  <c r="A5" i="1"/>
  <c r="B5" i="1" s="1"/>
  <c r="A51" i="1"/>
  <c r="B51" i="1" s="1"/>
  <c r="A195" i="1"/>
  <c r="B195" i="1" s="1"/>
  <c r="A132" i="1"/>
  <c r="B132" i="1" s="1"/>
  <c r="A87" i="1"/>
  <c r="B87" i="1" s="1"/>
  <c r="A173" i="1"/>
  <c r="B173" i="1" s="1"/>
  <c r="A190" i="1"/>
  <c r="B190" i="1" s="1"/>
  <c r="A27" i="1"/>
  <c r="B27" i="1" s="1"/>
  <c r="A114" i="1"/>
  <c r="B114" i="1" s="1"/>
  <c r="A154" i="1"/>
  <c r="A185" i="1"/>
  <c r="B185" i="1" s="1"/>
  <c r="A233" i="1"/>
  <c r="B233" i="1" s="1"/>
  <c r="A31" i="1"/>
  <c r="A21" i="1"/>
  <c r="B21" i="1" s="1"/>
  <c r="A103" i="1"/>
  <c r="B103" i="1" s="1"/>
  <c r="A149" i="1"/>
  <c r="A215" i="1"/>
  <c r="B215" i="1" s="1"/>
  <c r="A70" i="1"/>
  <c r="B70" i="1" s="1"/>
  <c r="A169" i="1"/>
  <c r="B169" i="1" s="1"/>
  <c r="A144" i="1"/>
  <c r="B144" i="1" s="1"/>
  <c r="A226" i="1"/>
  <c r="B226" i="1" s="1"/>
  <c r="A35" i="1"/>
  <c r="B35" i="1" s="1"/>
  <c r="A241" i="1"/>
  <c r="B241" i="1" s="1"/>
  <c r="A98" i="1"/>
  <c r="B98" i="1" s="1"/>
  <c r="A127" i="1"/>
  <c r="A66" i="1"/>
  <c r="B66" i="1" s="1"/>
  <c r="A237" i="1"/>
  <c r="B237" i="1" s="1"/>
  <c r="A121" i="1"/>
  <c r="B121" i="1" s="1"/>
  <c r="A153" i="1"/>
  <c r="B153" i="1" s="1"/>
  <c r="A110" i="1"/>
  <c r="B110" i="1" s="1"/>
  <c r="A140" i="1"/>
  <c r="B140" i="1" s="1"/>
  <c r="A165" i="1"/>
  <c r="B165" i="1" s="1"/>
  <c r="A77" i="1"/>
  <c r="B77" i="1" s="1"/>
  <c r="A203" i="1"/>
  <c r="A55" i="1"/>
  <c r="B55" i="1" s="1"/>
  <c r="A79" i="1"/>
  <c r="B79" i="1" s="1"/>
  <c r="A36" i="1"/>
  <c r="B36" i="1" s="1"/>
  <c r="A59" i="1"/>
  <c r="B59" i="1" s="1"/>
  <c r="A222" i="1"/>
  <c r="B222" i="1" s="1"/>
  <c r="A136" i="1"/>
  <c r="A206" i="1"/>
  <c r="B206" i="1" s="1"/>
  <c r="A17" i="1"/>
  <c r="B17" i="1" s="1"/>
  <c r="A181" i="1"/>
  <c r="B181" i="1" s="1"/>
  <c r="A211" i="1"/>
  <c r="B211" i="1" s="1"/>
  <c r="A177" i="1"/>
  <c r="B177" i="1" s="1"/>
  <c r="F176" i="1"/>
  <c r="F210" i="1"/>
  <c r="F39" i="1"/>
  <c r="F179" i="1"/>
  <c r="F15" i="1"/>
  <c r="F207" i="1"/>
  <c r="F208" i="1"/>
  <c r="F134" i="1"/>
  <c r="F220" i="1"/>
  <c r="F57" i="1"/>
  <c r="F48" i="1"/>
  <c r="F145" i="1"/>
  <c r="F53" i="1"/>
  <c r="F201" i="1"/>
  <c r="F75" i="1"/>
  <c r="F163" i="1"/>
  <c r="F138" i="1"/>
  <c r="F108" i="1"/>
  <c r="F151" i="1"/>
  <c r="F119" i="1"/>
  <c r="F235" i="1"/>
  <c r="F64" i="1"/>
  <c r="F125" i="1"/>
  <c r="F96" i="1"/>
  <c r="F239" i="1"/>
  <c r="F33" i="1"/>
  <c r="F224" i="1"/>
  <c r="F142" i="1"/>
  <c r="F167" i="1"/>
  <c r="F68" i="1"/>
  <c r="F213" i="1"/>
  <c r="F147" i="1"/>
  <c r="F101" i="1"/>
  <c r="F19" i="1"/>
  <c r="F29" i="1"/>
  <c r="F231" i="1"/>
  <c r="F183" i="1"/>
  <c r="F112" i="1"/>
  <c r="F25" i="1"/>
  <c r="F189" i="1"/>
  <c r="F171" i="1"/>
  <c r="F85" i="1"/>
  <c r="F130" i="1"/>
  <c r="F193" i="1"/>
  <c r="F50" i="1"/>
  <c r="F3" i="1"/>
  <c r="F91" i="1"/>
  <c r="F197" i="1"/>
  <c r="F81" i="1"/>
  <c r="F159" i="1"/>
  <c r="F104" i="1"/>
  <c r="F71" i="1"/>
  <c r="F170" i="1"/>
  <c r="F227" i="1"/>
  <c r="F186" i="1"/>
  <c r="F42" i="1"/>
  <c r="F60" i="1"/>
  <c r="F115" i="1"/>
  <c r="F6" i="1"/>
  <c r="F155" i="1"/>
  <c r="F216" i="1"/>
  <c r="F22" i="1"/>
  <c r="F9" i="1"/>
  <c r="F174" i="1"/>
  <c r="F88" i="1"/>
  <c r="F45" i="1"/>
  <c r="F40" i="1"/>
  <c r="F11" i="1"/>
  <c r="F12" i="1"/>
  <c r="F205" i="1"/>
  <c r="F180" i="1"/>
  <c r="F16" i="1"/>
  <c r="F135" i="1"/>
  <c r="F221" i="1"/>
  <c r="F58" i="1"/>
  <c r="F54" i="1"/>
  <c r="F202" i="1"/>
  <c r="F76" i="1"/>
  <c r="F164" i="1"/>
  <c r="F139" i="1"/>
  <c r="F109" i="1"/>
  <c r="F152" i="1"/>
  <c r="F120" i="1"/>
  <c r="F236" i="1"/>
  <c r="F65" i="1"/>
  <c r="F126" i="1"/>
  <c r="F97" i="1"/>
  <c r="F240" i="1"/>
  <c r="F34" i="1"/>
  <c r="F225" i="1"/>
  <c r="F143" i="1"/>
  <c r="F168" i="1"/>
  <c r="F69" i="1"/>
  <c r="F214" i="1"/>
  <c r="F148" i="1"/>
  <c r="F102" i="1"/>
  <c r="F20" i="1"/>
  <c r="F30" i="1"/>
  <c r="F232" i="1"/>
  <c r="F184" i="1"/>
  <c r="F113" i="1"/>
  <c r="F26" i="1"/>
  <c r="F191" i="1"/>
  <c r="F172" i="1"/>
  <c r="F86" i="1"/>
  <c r="F131" i="1"/>
  <c r="F194" i="1"/>
  <c r="F204" i="1"/>
  <c r="F4" i="1"/>
  <c r="F92" i="1"/>
  <c r="F198" i="1"/>
  <c r="F82" i="1"/>
  <c r="F160" i="1"/>
  <c r="F105" i="1"/>
  <c r="F73" i="1"/>
  <c r="F228" i="1"/>
  <c r="F187" i="1"/>
  <c r="F43" i="1"/>
  <c r="F61" i="1"/>
  <c r="F116" i="1"/>
  <c r="F7" i="1"/>
  <c r="F156" i="1"/>
  <c r="F217" i="1"/>
  <c r="F23" i="1"/>
  <c r="F10" i="1"/>
  <c r="F89" i="1"/>
  <c r="F46" i="1"/>
  <c r="F41" i="1"/>
  <c r="F13" i="1"/>
  <c r="F177" i="1"/>
  <c r="B160" i="1"/>
  <c r="B41" i="1"/>
  <c r="A73" i="1"/>
  <c r="B73" i="1" s="1"/>
  <c r="A228" i="1"/>
  <c r="B228" i="1" s="1"/>
  <c r="A187" i="1"/>
  <c r="B187" i="1" s="1"/>
  <c r="A43" i="1"/>
  <c r="B43" i="1" s="1"/>
  <c r="A61" i="1"/>
  <c r="B61" i="1" s="1"/>
  <c r="A116" i="1"/>
  <c r="B116" i="1" s="1"/>
  <c r="A7" i="1"/>
  <c r="B7" i="1" s="1"/>
  <c r="A156" i="1"/>
  <c r="B156" i="1" s="1"/>
  <c r="A217" i="1"/>
  <c r="B217" i="1" s="1"/>
  <c r="A23" i="1"/>
  <c r="B23" i="1" s="1"/>
  <c r="A10" i="1"/>
  <c r="B10" i="1" s="1"/>
  <c r="A89" i="1"/>
  <c r="B89" i="1" s="1"/>
  <c r="A46" i="1"/>
  <c r="B46" i="1" s="1"/>
  <c r="A41" i="1"/>
  <c r="A13" i="1"/>
  <c r="B13" i="1" s="1"/>
  <c r="A92" i="1"/>
  <c r="B92" i="1" s="1"/>
  <c r="A198" i="1"/>
  <c r="B198" i="1" s="1"/>
  <c r="A82" i="1"/>
  <c r="B82" i="1" s="1"/>
  <c r="A160" i="1"/>
  <c r="A105" i="1"/>
  <c r="B105" i="1" s="1"/>
  <c r="A4" i="1"/>
  <c r="B4" i="1" s="1"/>
  <c r="A204" i="1"/>
  <c r="B204" i="1" s="1"/>
  <c r="A194" i="1"/>
  <c r="B194" i="1" s="1"/>
  <c r="A131" i="1"/>
  <c r="B131" i="1" s="1"/>
  <c r="A86" i="1"/>
  <c r="B86" i="1" s="1"/>
  <c r="A172" i="1"/>
  <c r="B172" i="1" s="1"/>
  <c r="A191" i="1"/>
  <c r="B191" i="1" s="1"/>
  <c r="A26" i="1"/>
  <c r="B26" i="1" s="1"/>
  <c r="A113" i="1"/>
  <c r="B113" i="1" s="1"/>
  <c r="A184" i="1"/>
  <c r="B184" i="1" s="1"/>
  <c r="A232" i="1"/>
  <c r="B232" i="1" s="1"/>
  <c r="A30" i="1"/>
  <c r="B30" i="1" s="1"/>
  <c r="A20" i="1"/>
  <c r="B20" i="1" s="1"/>
  <c r="A102" i="1"/>
  <c r="B102" i="1" s="1"/>
  <c r="A148" i="1"/>
  <c r="B148" i="1" s="1"/>
  <c r="A214" i="1"/>
  <c r="B214" i="1" s="1"/>
  <c r="A69" i="1"/>
  <c r="B69" i="1" s="1"/>
  <c r="A168" i="1"/>
  <c r="B168" i="1" s="1"/>
  <c r="A143" i="1"/>
  <c r="B143" i="1" s="1"/>
  <c r="A225" i="1"/>
  <c r="B225" i="1" s="1"/>
  <c r="A34" i="1"/>
  <c r="B34" i="1" s="1"/>
  <c r="A240" i="1"/>
  <c r="B240" i="1" s="1"/>
  <c r="A97" i="1"/>
  <c r="B97" i="1" s="1"/>
  <c r="A126" i="1"/>
  <c r="B126" i="1" s="1"/>
  <c r="A65" i="1"/>
  <c r="B65" i="1" s="1"/>
  <c r="A236" i="1"/>
  <c r="B236" i="1" s="1"/>
  <c r="A120" i="1"/>
  <c r="B120" i="1" s="1"/>
  <c r="A152" i="1"/>
  <c r="B152" i="1" s="1"/>
  <c r="A109" i="1"/>
  <c r="B109" i="1" s="1"/>
  <c r="A139" i="1"/>
  <c r="B139" i="1" s="1"/>
  <c r="A164" i="1"/>
  <c r="B164" i="1" s="1"/>
  <c r="A76" i="1"/>
  <c r="B76" i="1" s="1"/>
  <c r="A202" i="1"/>
  <c r="B202" i="1" s="1"/>
  <c r="A54" i="1"/>
  <c r="B54" i="1" s="1"/>
  <c r="A58" i="1"/>
  <c r="B58" i="1" s="1"/>
  <c r="A221" i="1"/>
  <c r="B221" i="1" s="1"/>
  <c r="A135" i="1"/>
  <c r="B135" i="1" s="1"/>
  <c r="A16" i="1"/>
  <c r="B16" i="1" s="1"/>
  <c r="A180" i="1"/>
  <c r="B180" i="1" s="1"/>
  <c r="B112" i="1"/>
  <c r="B22" i="1"/>
  <c r="A205" i="1"/>
  <c r="B205" i="1" s="1"/>
  <c r="A12" i="1"/>
  <c r="B12" i="1" s="1"/>
  <c r="A11" i="1"/>
  <c r="B11" i="1" s="1"/>
  <c r="A40" i="1"/>
  <c r="B40" i="1" s="1"/>
  <c r="A45" i="1"/>
  <c r="B45" i="1" s="1"/>
  <c r="A88" i="1"/>
  <c r="B88" i="1" s="1"/>
  <c r="A174" i="1"/>
  <c r="B174" i="1" s="1"/>
  <c r="A9" i="1"/>
  <c r="B9" i="1" s="1"/>
  <c r="A22" i="1"/>
  <c r="A216" i="1"/>
  <c r="B216" i="1" s="1"/>
  <c r="A155" i="1"/>
  <c r="B155" i="1" s="1"/>
  <c r="A6" i="1"/>
  <c r="B6" i="1" s="1"/>
  <c r="A115" i="1"/>
  <c r="B115" i="1" s="1"/>
  <c r="A60" i="1"/>
  <c r="B60" i="1" s="1"/>
  <c r="A42" i="1"/>
  <c r="B42" i="1" s="1"/>
  <c r="A186" i="1"/>
  <c r="B186" i="1" s="1"/>
  <c r="A227" i="1"/>
  <c r="B227" i="1" s="1"/>
  <c r="A170" i="1"/>
  <c r="B170" i="1" s="1"/>
  <c r="A71" i="1"/>
  <c r="B71" i="1" s="1"/>
  <c r="A104" i="1"/>
  <c r="B104" i="1" s="1"/>
  <c r="A159" i="1"/>
  <c r="B159" i="1" s="1"/>
  <c r="A81" i="1"/>
  <c r="B81" i="1" s="1"/>
  <c r="A197" i="1"/>
  <c r="B197" i="1" s="1"/>
  <c r="A91" i="1"/>
  <c r="B91" i="1" s="1"/>
  <c r="A3" i="1"/>
  <c r="B3" i="1" s="1"/>
  <c r="A50" i="1"/>
  <c r="B50" i="1" s="1"/>
  <c r="A193" i="1"/>
  <c r="B193" i="1" s="1"/>
  <c r="A130" i="1"/>
  <c r="B130" i="1" s="1"/>
  <c r="A85" i="1"/>
  <c r="B85" i="1" s="1"/>
  <c r="A171" i="1"/>
  <c r="B171" i="1" s="1"/>
  <c r="A189" i="1"/>
  <c r="B189" i="1" s="1"/>
  <c r="A25" i="1"/>
  <c r="B25" i="1" s="1"/>
  <c r="A112" i="1"/>
  <c r="A183" i="1"/>
  <c r="B183" i="1" s="1"/>
  <c r="A231" i="1"/>
  <c r="B231" i="1" s="1"/>
  <c r="A29" i="1"/>
  <c r="B29" i="1" s="1"/>
  <c r="A19" i="1"/>
  <c r="B19" i="1" s="1"/>
  <c r="A101" i="1"/>
  <c r="B101" i="1" s="1"/>
  <c r="A147" i="1"/>
  <c r="B147" i="1" s="1"/>
  <c r="A213" i="1"/>
  <c r="B213" i="1" s="1"/>
  <c r="A68" i="1"/>
  <c r="B68" i="1" s="1"/>
  <c r="A167" i="1"/>
  <c r="B167" i="1" s="1"/>
  <c r="A142" i="1"/>
  <c r="B142" i="1" s="1"/>
  <c r="A224" i="1"/>
  <c r="B224" i="1" s="1"/>
  <c r="A33" i="1"/>
  <c r="B33" i="1" s="1"/>
  <c r="A239" i="1"/>
  <c r="B239" i="1" s="1"/>
  <c r="A96" i="1"/>
  <c r="B96" i="1" s="1"/>
  <c r="A125" i="1"/>
  <c r="B125" i="1" s="1"/>
  <c r="A64" i="1"/>
  <c r="B64" i="1" s="1"/>
  <c r="A235" i="1"/>
  <c r="B235" i="1" s="1"/>
  <c r="A119" i="1"/>
  <c r="B119" i="1" s="1"/>
  <c r="A151" i="1"/>
  <c r="B151" i="1" s="1"/>
  <c r="A108" i="1"/>
  <c r="B108" i="1" s="1"/>
  <c r="A138" i="1"/>
  <c r="B138" i="1" s="1"/>
  <c r="A163" i="1"/>
  <c r="B163" i="1" s="1"/>
  <c r="A75" i="1"/>
  <c r="B75" i="1" s="1"/>
  <c r="A201" i="1"/>
  <c r="B201" i="1" s="1"/>
  <c r="A53" i="1"/>
  <c r="B53" i="1" s="1"/>
  <c r="A145" i="1"/>
  <c r="B145" i="1" s="1"/>
  <c r="A48" i="1"/>
  <c r="B48" i="1" s="1"/>
  <c r="A57" i="1"/>
  <c r="B57" i="1" s="1"/>
  <c r="A220" i="1"/>
  <c r="B220" i="1" s="1"/>
  <c r="A134" i="1"/>
  <c r="B134" i="1" s="1"/>
  <c r="A208" i="1"/>
  <c r="B208" i="1" s="1"/>
  <c r="A207" i="1"/>
  <c r="B207" i="1" s="1"/>
  <c r="A15" i="1"/>
  <c r="B15" i="1" s="1"/>
  <c r="A179" i="1"/>
  <c r="B179" i="1" s="1"/>
  <c r="A39" i="1"/>
  <c r="B39" i="1" s="1"/>
  <c r="A210" i="1"/>
  <c r="B210" i="1" s="1"/>
  <c r="A176" i="1"/>
  <c r="B176" i="1" s="1"/>
  <c r="A175" i="1"/>
  <c r="B175" i="1" s="1"/>
  <c r="A209" i="1"/>
  <c r="B209" i="1" s="1"/>
  <c r="F209" i="1"/>
  <c r="F38" i="1"/>
  <c r="F178" i="1"/>
  <c r="F128" i="1"/>
  <c r="F14" i="1"/>
  <c r="F122" i="1"/>
  <c r="F133" i="1"/>
  <c r="F219" i="1"/>
  <c r="F56" i="1"/>
  <c r="F47" i="1"/>
  <c r="F78" i="1"/>
  <c r="F52" i="1"/>
  <c r="F200" i="1"/>
  <c r="F37" i="1"/>
  <c r="F74" i="1"/>
  <c r="F162" i="1"/>
  <c r="F137" i="1"/>
  <c r="F107" i="1"/>
  <c r="F150" i="1"/>
  <c r="F118" i="1"/>
  <c r="F234" i="1"/>
  <c r="F63" i="1"/>
  <c r="F124" i="1"/>
  <c r="F95" i="1"/>
  <c r="F238" i="1"/>
  <c r="F32" i="1"/>
  <c r="F223" i="1"/>
  <c r="F141" i="1"/>
  <c r="F166" i="1"/>
  <c r="F67" i="1"/>
  <c r="F94" i="1"/>
  <c r="F212" i="1"/>
  <c r="F146" i="1"/>
  <c r="F100" i="1"/>
  <c r="F18" i="1"/>
  <c r="F28" i="1"/>
  <c r="F230" i="1"/>
  <c r="F182" i="1"/>
  <c r="F111" i="1"/>
  <c r="F24" i="1"/>
  <c r="F123" i="1"/>
  <c r="F99" i="1"/>
  <c r="F84" i="1"/>
  <c r="F129" i="1"/>
  <c r="F192" i="1"/>
  <c r="F49" i="1"/>
  <c r="F2" i="1"/>
  <c r="F90" i="1"/>
  <c r="F196" i="1"/>
  <c r="F80" i="1"/>
  <c r="F158" i="1"/>
  <c r="F175" i="1"/>
  <c r="A158" i="1"/>
  <c r="B158" i="1" s="1"/>
  <c r="A80" i="1"/>
  <c r="B80" i="1" s="1"/>
  <c r="A196" i="1"/>
  <c r="B196" i="1" s="1"/>
  <c r="A90" i="1"/>
  <c r="B90" i="1" s="1"/>
  <c r="A2" i="1"/>
  <c r="B2" i="1" s="1"/>
  <c r="A49" i="1"/>
  <c r="B49" i="1" s="1"/>
  <c r="A192" i="1"/>
  <c r="B192" i="1" s="1"/>
  <c r="A129" i="1"/>
  <c r="B129" i="1" s="1"/>
  <c r="A84" i="1"/>
  <c r="B84" i="1" s="1"/>
  <c r="A99" i="1"/>
  <c r="B99" i="1" s="1"/>
  <c r="A123" i="1"/>
  <c r="B123" i="1" s="1"/>
  <c r="A24" i="1"/>
  <c r="B24" i="1" s="1"/>
  <c r="A111" i="1"/>
  <c r="B111" i="1" s="1"/>
  <c r="A182" i="1"/>
  <c r="B182" i="1" s="1"/>
  <c r="A230" i="1"/>
  <c r="B230" i="1" s="1"/>
  <c r="A28" i="1"/>
  <c r="B28" i="1" s="1"/>
  <c r="A18" i="1"/>
  <c r="B18" i="1" s="1"/>
  <c r="A100" i="1"/>
  <c r="B100" i="1" s="1"/>
  <c r="A146" i="1"/>
  <c r="B146" i="1" s="1"/>
  <c r="A212" i="1"/>
  <c r="B212" i="1" s="1"/>
  <c r="A94" i="1"/>
  <c r="B94" i="1" s="1"/>
  <c r="A67" i="1"/>
  <c r="B67" i="1" s="1"/>
  <c r="A166" i="1"/>
  <c r="B166" i="1" s="1"/>
  <c r="A141" i="1"/>
  <c r="B141" i="1" s="1"/>
  <c r="A223" i="1"/>
  <c r="B223" i="1" s="1"/>
  <c r="A32" i="1"/>
  <c r="B32" i="1" s="1"/>
  <c r="A238" i="1"/>
  <c r="B238" i="1" s="1"/>
  <c r="A95" i="1"/>
  <c r="B95" i="1" s="1"/>
  <c r="A124" i="1"/>
  <c r="B124" i="1" s="1"/>
  <c r="A63" i="1"/>
  <c r="B63" i="1" s="1"/>
  <c r="A234" i="1"/>
  <c r="B234" i="1" s="1"/>
  <c r="A118" i="1"/>
  <c r="B118" i="1" s="1"/>
  <c r="A150" i="1"/>
  <c r="B150" i="1" s="1"/>
  <c r="A107" i="1"/>
  <c r="B107" i="1" s="1"/>
  <c r="A137" i="1"/>
  <c r="B137" i="1" s="1"/>
  <c r="A162" i="1"/>
  <c r="B162" i="1" s="1"/>
  <c r="A74" i="1"/>
  <c r="B74" i="1" s="1"/>
  <c r="A37" i="1"/>
  <c r="B37" i="1" s="1"/>
  <c r="A200" i="1"/>
  <c r="B200" i="1" s="1"/>
  <c r="A52" i="1"/>
  <c r="B52" i="1" s="1"/>
  <c r="A78" i="1"/>
  <c r="B78" i="1" s="1"/>
  <c r="A47" i="1"/>
  <c r="B47" i="1" s="1"/>
  <c r="A56" i="1"/>
  <c r="B56" i="1" s="1"/>
  <c r="A219" i="1"/>
  <c r="B219" i="1" s="1"/>
  <c r="A133" i="1"/>
  <c r="B133" i="1" s="1"/>
  <c r="A122" i="1"/>
  <c r="B122" i="1" s="1"/>
  <c r="A14" i="1"/>
  <c r="B14" i="1" s="1"/>
  <c r="A128" i="1"/>
  <c r="B128" i="1" s="1"/>
  <c r="A178" i="1"/>
  <c r="B178" i="1" s="1"/>
  <c r="A38" i="1"/>
  <c r="B3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03568-D1C8-4389-AA93-C8CCD24D5DF9}" keepAlive="1" name="Consulta - Itinerários ES por transportadora pdf" description="Conexão com a consulta 'Itinerários ES por transportadora pdf' na pasta de trabalho." type="5" refreshedVersion="8" background="1" saveData="1">
    <dbPr connection="Provider=Microsoft.Mashup.OleDb.1;Data Source=$Workbook$;Location=&quot;Itinerários ES por transportadora pdf&quot;;Extended Properties=&quot;&quot;" command="SELECT * FROM [Itinerários ES por transportadora pdf]"/>
  </connection>
  <connection id="2" xr16:uid="{14983007-1A25-4ED8-BAC6-B051EA3DD3C1}" keepAlive="1" name="Consulta - Itinerários MG por transportadora pdf" description="Conexão com a consulta 'Itinerários MG por transportadora pdf' na pasta de trabalho." type="5" refreshedVersion="8" background="1" saveData="1">
    <dbPr connection="Provider=Microsoft.Mashup.OleDb.1;Data Source=$Workbook$;Location=&quot;Itinerários MG por transportadora pdf&quot;;Extended Properties=&quot;&quot;" command="SELECT * FROM [Itinerários MG por transportadora pdf]"/>
  </connection>
  <connection id="3" xr16:uid="{DA693FB4-9D39-4690-BF6A-052EE589D7F0}" keepAlive="1" name="Consulta - Itinerários RJ por transportadora pdf" description="Conexão com a consulta 'Itinerários RJ por transportadora pdf' na pasta de trabalho." type="5" refreshedVersion="8" background="1" saveData="1">
    <dbPr connection="Provider=Microsoft.Mashup.OleDb.1;Data Source=$Workbook$;Location=&quot;Itinerários RJ por transportadora pdf&quot;;Extended Properties=&quot;&quot;" command="SELECT * FROM [Itinerários RJ por transportadora pdf]"/>
  </connection>
  <connection id="4" xr16:uid="{E7AD39E6-E39B-4D56-8E79-4E5E2664FCE0}" keepAlive="1" name="Consulta - Itinerários SP por transportadora pdf" description="Conexão com a consulta 'Itinerários SP por transportadora pdf' na pasta de trabalho." type="5" refreshedVersion="8" background="1" saveData="1">
    <dbPr connection="Provider=Microsoft.Mashup.OleDb.1;Data Source=$Workbook$;Location=&quot;Itinerários SP por transportadora pdf&quot;;Extended Properties=&quot;&quot;" command="SELECT * FROM [Itinerários SP por transportadora pdf]"/>
  </connection>
</connections>
</file>

<file path=xl/sharedStrings.xml><?xml version="1.0" encoding="utf-8"?>
<sst xmlns="http://schemas.openxmlformats.org/spreadsheetml/2006/main" count="8754" uniqueCount="294">
  <si>
    <t>Transportadora</t>
  </si>
  <si>
    <t>Rota</t>
  </si>
  <si>
    <t>Prazo</t>
  </si>
  <si>
    <t>SER TRANSPORTES DE CARGAS</t>
  </si>
  <si>
    <t>RJ03FIXO</t>
  </si>
  <si>
    <t>48h</t>
  </si>
  <si>
    <t>TRANSPORTADORA ALMEIDA DE MARILIA LTDA</t>
  </si>
  <si>
    <t>RJ03</t>
  </si>
  <si>
    <t>RJKA</t>
  </si>
  <si>
    <t>RJKAFIXO</t>
  </si>
  <si>
    <t>CARSTEN</t>
  </si>
  <si>
    <t>SP MODAL TRANSPORTES LTDA</t>
  </si>
  <si>
    <t>RJ01</t>
  </si>
  <si>
    <t>RJ02</t>
  </si>
  <si>
    <t>RJ04</t>
  </si>
  <si>
    <t>RJ05</t>
  </si>
  <si>
    <t>RJ06</t>
  </si>
  <si>
    <t>RJ07</t>
  </si>
  <si>
    <t>RJ08</t>
  </si>
  <si>
    <t>RJ09</t>
  </si>
  <si>
    <t>RJ10</t>
  </si>
  <si>
    <t>AJBORGES TRANSPORTE</t>
  </si>
  <si>
    <t>TRANSMARONI TRANSPORTES BRASIL RODOVIARIOS LTDA RJ03</t>
  </si>
  <si>
    <t>TRANSMARONI TRANSPORTES BRASIL RODOVIARIOS LTDA RJ03FIXO</t>
  </si>
  <si>
    <t>MANOEL MESSIAS GOMES TRANSPORTES EPP</t>
  </si>
  <si>
    <t>RJ01FIXO</t>
  </si>
  <si>
    <t>RJ02FIXO</t>
  </si>
  <si>
    <t>RJ04FIXO</t>
  </si>
  <si>
    <t>RJ05FIXO</t>
  </si>
  <si>
    <t>RJ06FIXO</t>
  </si>
  <si>
    <t>RJ07FIXO</t>
  </si>
  <si>
    <t>RJ08FIXO</t>
  </si>
  <si>
    <t>RJ09FIXO</t>
  </si>
  <si>
    <t>RJ10FIXO</t>
  </si>
  <si>
    <t>TRANSPORTADORA GRAVENA</t>
  </si>
  <si>
    <t>DELOG SERVICOS LOGISTICOS LTDA</t>
  </si>
  <si>
    <t>CYA VERDE LOGISITICA LTDA</t>
  </si>
  <si>
    <t>MARLOG BRASIL LOGISTICAE ARMAZENAGEM LTDA.</t>
  </si>
  <si>
    <t>DELASARE TRANSPORTES LTDA</t>
  </si>
  <si>
    <t>TRANSECCHI TRANSP. DE MARILIA LTDA</t>
  </si>
  <si>
    <t>FACCHINI TRANSPORTES</t>
  </si>
  <si>
    <t>OSVALDO PUPIM TRANSPORTES ME</t>
  </si>
  <si>
    <t>MANOEL PIRES FILHO TRANSPORTES - ME</t>
  </si>
  <si>
    <t>JULICLER APARECIDA DOS SANTOS GOMES ME</t>
  </si>
  <si>
    <t>RJ01D</t>
  </si>
  <si>
    <t>RJ02D</t>
  </si>
  <si>
    <t>RJ03D</t>
  </si>
  <si>
    <t>RJ04D</t>
  </si>
  <si>
    <t>RJ05D</t>
  </si>
  <si>
    <t>RJ06D</t>
  </si>
  <si>
    <t>RJ07D</t>
  </si>
  <si>
    <t>RJ08D</t>
  </si>
  <si>
    <t>RJ09D</t>
  </si>
  <si>
    <t>RJ10D</t>
  </si>
  <si>
    <t>MILVINI TRANSPORTES MARILIA LTDA -</t>
  </si>
  <si>
    <t>LH - TRANSPORTES RODOVIARIOS LTDA</t>
  </si>
  <si>
    <t>WILSON TRANSPORTES</t>
  </si>
  <si>
    <t>EDERSON MARCELO DE SALES TRANSP ME</t>
  </si>
  <si>
    <t>LUCELIAS TRANSPORTES LTDA</t>
  </si>
  <si>
    <t>JOAO DE OLIVEIRA MATTOS TRANSPORTES</t>
  </si>
  <si>
    <t>ZONER E ZONER LTDA</t>
  </si>
  <si>
    <t>RJ03DFIXO</t>
  </si>
  <si>
    <t>C J DELASARE TRANSPORTES LTDA</t>
  </si>
  <si>
    <t>V GOVEIA RODRIGUES TRANSPORTES EIRELI</t>
  </si>
  <si>
    <t>MARCOS ANTONIO PEREIRA CASTRO -ME</t>
  </si>
  <si>
    <t>RAQUEL FERREIRA DA SILVA MULATO ME</t>
  </si>
  <si>
    <t>EDINEI PEREIRA DE FREITAS</t>
  </si>
  <si>
    <t>TRANSPORTADORA AZEVEDO</t>
  </si>
  <si>
    <t>MAYRON ANTONIO ROSARIO 32944558870</t>
  </si>
  <si>
    <t>JOSE GUILHERME DE SOUSA TRANSP</t>
  </si>
  <si>
    <t>APARECIDO TAVARES TRANSPORTES ME</t>
  </si>
  <si>
    <t>ARNALDO BENEDITO AMORIM - ME</t>
  </si>
  <si>
    <t>VALMIR GARCIA TRANSPORTES</t>
  </si>
  <si>
    <t>SS LOGISTICA</t>
  </si>
  <si>
    <t>JUNIOR TRANSPORTES</t>
  </si>
  <si>
    <t>ARLINDO FRANCISCO DE OLIVEIRA</t>
  </si>
  <si>
    <t>TEREZINHA MUNIZ DA CUNHA DAS CHAGAS 04145032870</t>
  </si>
  <si>
    <t>RODOCON TRANSPORTES</t>
  </si>
  <si>
    <t>GR TRANSPORTE RODOVIÁRIO DE CARGAS EIRELI</t>
  </si>
  <si>
    <t>M.J. TRANSPORTES</t>
  </si>
  <si>
    <t>TM TRANSPORTADORA MULATO</t>
  </si>
  <si>
    <t>DALVA MARQUES DE OLIVEIRA 16060157882</t>
  </si>
  <si>
    <t>36.232.091 HILTON CESAR LEONEL</t>
  </si>
  <si>
    <t>IVONE GOLIN LOUREIRO 13659043850</t>
  </si>
  <si>
    <t>TR FACCHINI TRANSPORTES LTDA</t>
  </si>
  <si>
    <t>GLEICIANE DOS SANTOS GOMES</t>
  </si>
  <si>
    <t>ODECIO SALIDO FILHO 17406079885</t>
  </si>
  <si>
    <t>JOSE ROBERTO CASTRO DA SILVA TRANSPORTES</t>
  </si>
  <si>
    <t>ERICA FLAVIANE IOSSAQUI MATTOS RIBEIRO 36991321885</t>
  </si>
  <si>
    <t>RICHARDS ISSA 06797187885</t>
  </si>
  <si>
    <t>VALDEIR GULINO DIOGO 05059025837</t>
  </si>
  <si>
    <t>SS LOGISTICA LTDA</t>
  </si>
  <si>
    <t>CLAUDIA OLIVEIRA MULATO</t>
  </si>
  <si>
    <t>DORI ALIMENTOS S.A.(UN10)</t>
  </si>
  <si>
    <t>JVF TRANSPORTES LTDA</t>
  </si>
  <si>
    <t>53.540.060 LUCIA NUNES DE SIQUEIRA CASTRO</t>
  </si>
  <si>
    <t>NATHALIA MENDES DE FREITAS</t>
  </si>
  <si>
    <t>TRANSPORTADORA BASAN LTDA</t>
  </si>
  <si>
    <t>ARANAO TRANSPORTES RODOVIARIOS LTDA</t>
  </si>
  <si>
    <t>54.792.392 RAYSSA OLIVEIRA SALES</t>
  </si>
  <si>
    <t>RODOJACTO</t>
  </si>
  <si>
    <t>GUILHERME PALOMO DE SOUSA</t>
  </si>
  <si>
    <t>CRISTIANE JOSE DA SILVA FREITAS</t>
  </si>
  <si>
    <t>CLAUDIA MOREIRA CAIRES CASTRO</t>
  </si>
  <si>
    <t>58.622.244 ISSAO TOYODA</t>
  </si>
  <si>
    <t>62.098.575 JOAO PEREIRA CASTRO</t>
  </si>
  <si>
    <t>TRANSMAGNA TRANSPORTES LTDA</t>
  </si>
  <si>
    <t>SP02FIXO</t>
  </si>
  <si>
    <t>SP03FIXO</t>
  </si>
  <si>
    <t>SP04FIXO</t>
  </si>
  <si>
    <t>SP05FIXO</t>
  </si>
  <si>
    <t>SP06FIXO</t>
  </si>
  <si>
    <t>SP07FIXO</t>
  </si>
  <si>
    <t>SP08FIXO</t>
  </si>
  <si>
    <t>SP09FIXO</t>
  </si>
  <si>
    <t>SP10FIXO</t>
  </si>
  <si>
    <t>SP11FIXO</t>
  </si>
  <si>
    <t>SP12FIXO</t>
  </si>
  <si>
    <t>SP13FIXO</t>
  </si>
  <si>
    <t>SP14FIXO</t>
  </si>
  <si>
    <t>SP15FIXO</t>
  </si>
  <si>
    <t>SP16</t>
  </si>
  <si>
    <t>SP16FIXO</t>
  </si>
  <si>
    <t>SP17FIXO</t>
  </si>
  <si>
    <t>SP20FIXO</t>
  </si>
  <si>
    <t>SP26FIXO</t>
  </si>
  <si>
    <t>SP27FIXO</t>
  </si>
  <si>
    <t>SP09</t>
  </si>
  <si>
    <t>SP14</t>
  </si>
  <si>
    <t>SP15</t>
  </si>
  <si>
    <t>SP17</t>
  </si>
  <si>
    <t>SP18</t>
  </si>
  <si>
    <t>SP18FIXO</t>
  </si>
  <si>
    <t>SP19</t>
  </si>
  <si>
    <t>SP19FIXO</t>
  </si>
  <si>
    <t>SP20</t>
  </si>
  <si>
    <t>SP22</t>
  </si>
  <si>
    <t>SP22FIXO</t>
  </si>
  <si>
    <t>SP23</t>
  </si>
  <si>
    <t>SP23FIXO</t>
  </si>
  <si>
    <t>SP24</t>
  </si>
  <si>
    <t>SP24FIXO</t>
  </si>
  <si>
    <t>SP25</t>
  </si>
  <si>
    <t>SP25FIXO</t>
  </si>
  <si>
    <t>SP30FIXO</t>
  </si>
  <si>
    <t>SP21FIXO</t>
  </si>
  <si>
    <t>SP29FIXO</t>
  </si>
  <si>
    <t>SPKAFIXO</t>
  </si>
  <si>
    <t>SPLNFIXO</t>
  </si>
  <si>
    <t>SPLSFIXO</t>
  </si>
  <si>
    <t>SP02</t>
  </si>
  <si>
    <t>SP07</t>
  </si>
  <si>
    <t>SP11</t>
  </si>
  <si>
    <t>SP12</t>
  </si>
  <si>
    <t>SP13</t>
  </si>
  <si>
    <t>SP30</t>
  </si>
  <si>
    <t>SPBORA</t>
  </si>
  <si>
    <t>SPKA</t>
  </si>
  <si>
    <t>LUIZ PINHEIRO DA SILVA FILHO</t>
  </si>
  <si>
    <t>SP01</t>
  </si>
  <si>
    <t>SP01FIXO</t>
  </si>
  <si>
    <t>SP04</t>
  </si>
  <si>
    <t>SP21</t>
  </si>
  <si>
    <t>SPBORAFIXO</t>
  </si>
  <si>
    <t>LIRAN TRANSPORTES E LOGISTICA LTDA</t>
  </si>
  <si>
    <t>SP13D</t>
  </si>
  <si>
    <t>SP26</t>
  </si>
  <si>
    <t>SP27</t>
  </si>
  <si>
    <t>SP28</t>
  </si>
  <si>
    <t>SP28FIXO</t>
  </si>
  <si>
    <t>SP29</t>
  </si>
  <si>
    <t>GAT LOGISTICA</t>
  </si>
  <si>
    <t>CARLOS ROBERTO CABRINI TRANSP. - ME</t>
  </si>
  <si>
    <t>SP02D</t>
  </si>
  <si>
    <t>SP07D</t>
  </si>
  <si>
    <t>SP09D</t>
  </si>
  <si>
    <t>SP11D</t>
  </si>
  <si>
    <t>SP12D</t>
  </si>
  <si>
    <t>SP16D</t>
  </si>
  <si>
    <t>SP17D</t>
  </si>
  <si>
    <t>SP20D</t>
  </si>
  <si>
    <t>SP23D</t>
  </si>
  <si>
    <t>SP24D</t>
  </si>
  <si>
    <t>SP25D</t>
  </si>
  <si>
    <t>SP30D</t>
  </si>
  <si>
    <t>SP03</t>
  </si>
  <si>
    <t>SP05</t>
  </si>
  <si>
    <t>SP06</t>
  </si>
  <si>
    <t>SP08</t>
  </si>
  <si>
    <t>SP10</t>
  </si>
  <si>
    <t>SP31</t>
  </si>
  <si>
    <t>JETTA TRANSPORTES</t>
  </si>
  <si>
    <t>TEREZINHA MUNIZ DA CUNHA DAS CHAGAS 04145032870 SP02</t>
  </si>
  <si>
    <t>TEREZINHA MUNIZ DA CUNHA DAS CHAGAS 04145032870 SP07</t>
  </si>
  <si>
    <t>TEREZINHA MUNIZ DA CUNHA DAS CHAGAS 04145032870 SP09</t>
  </si>
  <si>
    <t>TEREZINHA MUNIZ DA CUNHA DAS CHAGAS 04145032870 SP12</t>
  </si>
  <si>
    <t>TEREZINHA MUNIZ DA CUNHA DAS CHAGAS 04145032870 SP16</t>
  </si>
  <si>
    <t>TEREZINHA MUNIZ DA CUNHA DAS CHAGAS 04145032870 SP17</t>
  </si>
  <si>
    <t>TEREZINHA MUNIZ DA CUNHA DAS CHAGAS 04145032870 SP20</t>
  </si>
  <si>
    <t>TEREZINHA MUNIZ DA CUNHA DAS CHAGAS 04145032870 SP23</t>
  </si>
  <si>
    <t>TEREZINHA MUNIZ DA CUNHA DAS CHAGAS 04145032870 SP24</t>
  </si>
  <si>
    <t>TEREZINHA MUNIZ DA CUNHA DAS CHAGAS 04145032870 SP25</t>
  </si>
  <si>
    <t>TEREZINHA MUNIZ DA CUNHA DAS CHAGAS 04145032870 SP30</t>
  </si>
  <si>
    <t>LOGMAXI MOVIMENTACAO E LOGISTICA LTDA</t>
  </si>
  <si>
    <t>SPDED</t>
  </si>
  <si>
    <t>JOAQUIM AUGUSTO PEREIRA JUNIOR 03268463878</t>
  </si>
  <si>
    <t>MG08FIXO</t>
  </si>
  <si>
    <t>MG02</t>
  </si>
  <si>
    <t>MG02FIXO</t>
  </si>
  <si>
    <t>MG14</t>
  </si>
  <si>
    <t>96h</t>
  </si>
  <si>
    <t>MG14FIXO</t>
  </si>
  <si>
    <t>MGKA</t>
  </si>
  <si>
    <t>MG01</t>
  </si>
  <si>
    <t>MG03</t>
  </si>
  <si>
    <t>MG04</t>
  </si>
  <si>
    <t>MG05</t>
  </si>
  <si>
    <t>MG06</t>
  </si>
  <si>
    <t>MG07</t>
  </si>
  <si>
    <t>MG08</t>
  </si>
  <si>
    <t>MG09</t>
  </si>
  <si>
    <t>MG10</t>
  </si>
  <si>
    <t>MG11</t>
  </si>
  <si>
    <t>MG12</t>
  </si>
  <si>
    <t>MG15</t>
  </si>
  <si>
    <t>MG16</t>
  </si>
  <si>
    <t>MG17</t>
  </si>
  <si>
    <t>MG18</t>
  </si>
  <si>
    <t>MG06FIXO</t>
  </si>
  <si>
    <t>MG09FIXO</t>
  </si>
  <si>
    <t>MG10FIXO</t>
  </si>
  <si>
    <t>TRANSMARONI TRANSPORTES BRASIL RODOVIARIOS LTDA MG02</t>
  </si>
  <si>
    <t>MG01FIXO</t>
  </si>
  <si>
    <t>MG03FIXO</t>
  </si>
  <si>
    <t>MG04FIXO</t>
  </si>
  <si>
    <t>MG05FIXO</t>
  </si>
  <si>
    <t>MG07FIXO</t>
  </si>
  <si>
    <t>MG11FIXO</t>
  </si>
  <si>
    <t>MG12FIXO</t>
  </si>
  <si>
    <t>MG14D</t>
  </si>
  <si>
    <t>MG15FIXO</t>
  </si>
  <si>
    <t>MG16FIXO</t>
  </si>
  <si>
    <t>MG17FIXO</t>
  </si>
  <si>
    <t>MG18FIXO</t>
  </si>
  <si>
    <t>MGKAFIXO 48h</t>
  </si>
  <si>
    <t>Não</t>
  </si>
  <si>
    <t>CALL EXPRESS TRANSPORTE E LOGISTICA LTDA</t>
  </si>
  <si>
    <t>MGKAD</t>
  </si>
  <si>
    <t>MG06D</t>
  </si>
  <si>
    <t>MG01D</t>
  </si>
  <si>
    <t>MG02D</t>
  </si>
  <si>
    <t>MG03D</t>
  </si>
  <si>
    <t>MG04D</t>
  </si>
  <si>
    <t>MG05D</t>
  </si>
  <si>
    <t>MG07D</t>
  </si>
  <si>
    <t>MG08D</t>
  </si>
  <si>
    <t>MG09D</t>
  </si>
  <si>
    <t>MG10D</t>
  </si>
  <si>
    <t>MG11D</t>
  </si>
  <si>
    <t>MG12D</t>
  </si>
  <si>
    <t>MG15D</t>
  </si>
  <si>
    <t>MG16D</t>
  </si>
  <si>
    <t>MG17D</t>
  </si>
  <si>
    <t>MG18D</t>
  </si>
  <si>
    <t>MG13</t>
  </si>
  <si>
    <t>MODULO</t>
  </si>
  <si>
    <t>ES01</t>
  </si>
  <si>
    <t>ES02</t>
  </si>
  <si>
    <t>ES03</t>
  </si>
  <si>
    <t>ES03FIXO</t>
  </si>
  <si>
    <t>ES04</t>
  </si>
  <si>
    <t>ES01FIXO</t>
  </si>
  <si>
    <t>ES02FIXO</t>
  </si>
  <si>
    <t>ES04FIXO</t>
  </si>
  <si>
    <t>ESCD06</t>
  </si>
  <si>
    <t>ESCD06FIXO</t>
  </si>
  <si>
    <t>ES03D</t>
  </si>
  <si>
    <t>ES01D</t>
  </si>
  <si>
    <t>ES02D</t>
  </si>
  <si>
    <t>ES04D</t>
  </si>
  <si>
    <t>TEREZINHA MUNIZ DA CUNHA DAS CHAGAS
04145032870</t>
  </si>
  <si>
    <t>TRANSFENIX LOGISTICA LTDA</t>
  </si>
  <si>
    <t>ESCADA</t>
  </si>
  <si>
    <t>ESPERANCA</t>
  </si>
  <si>
    <t>ESPIRITO SANTO</t>
  </si>
  <si>
    <t>ESPLANADA</t>
  </si>
  <si>
    <t>ESTANCIA</t>
  </si>
  <si>
    <t>ESTRELA DE
ALAGOAS</t>
  </si>
  <si>
    <t>ERICA FLAVIANE IOSSAQUI MATTOS RIBEIRO
36991321885</t>
  </si>
  <si>
    <t>24h</t>
  </si>
  <si>
    <t>ESTRELA</t>
  </si>
  <si>
    <t>Estado</t>
  </si>
  <si>
    <t>Cadastrado</t>
  </si>
  <si>
    <t>Não cadastrado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</si>
</sst>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Poppins"/>
    </font>
  </fonts>
  <fills count="3">
    <fill>
      <patternFill patternType="none"/>
    </fill>
    <fill>
      <patternFill patternType="gray125"/>
    </fill>
    <fill>
      <patternFill patternType="solid">
        <fgColor rgb="FF009F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26262"/>
      </left>
      <right style="thin">
        <color rgb="FF626262"/>
      </right>
      <top style="thin">
        <color rgb="FF626262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">
    <dxf>
      <font>
        <b val="0"/>
        <i val="0"/>
        <color rgb="FF00B050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D2B70"/>
      <color rgb="FFFFA3A3"/>
      <color rgb="FFFB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F91CA318-34CF-497F-AB3B-D06FD8BE1249}" autoFormatId="16" applyNumberFormats="0" applyBorderFormats="0" applyFontFormats="0" applyPatternFormats="0" applyAlignmentFormats="0" applyWidthHeightFormats="0">
  <queryTableRefresh nextId="4">
    <queryTableFields count="3">
      <queryTableField id="1" name="Transportadora" tableColumnId="1"/>
      <queryTableField id="2" name="Rota" tableColumnId="2"/>
      <queryTableField id="3" name="Praz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3893C9A-6AC7-40C7-A6C2-CB18EA27A9DD}" autoFormatId="16" applyNumberFormats="0" applyBorderFormats="0" applyFontFormats="0" applyPatternFormats="0" applyAlignmentFormats="0" applyWidthHeightFormats="0">
  <queryTableRefresh nextId="4">
    <queryTableFields count="3">
      <queryTableField id="1" name="Transportadora" tableColumnId="1"/>
      <queryTableField id="2" name="Rota" tableColumnId="2"/>
      <queryTableField id="3" name="Praz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4261FC74-40F6-4438-AA5C-162A126CE6EA}" autoFormatId="16" applyNumberFormats="0" applyBorderFormats="0" applyFontFormats="0" applyPatternFormats="0" applyAlignmentFormats="0" applyWidthHeightFormats="0">
  <queryTableRefresh nextId="4">
    <queryTableFields count="3">
      <queryTableField id="1" name="Transportadora" tableColumnId="1"/>
      <queryTableField id="2" name="Rota" tableColumnId="2"/>
      <queryTableField id="3" name="Prazo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391E20-6CA6-4263-877E-63E3FC3D9A7B}" autoFormatId="16" applyNumberFormats="0" applyBorderFormats="0" applyFontFormats="0" applyPatternFormats="0" applyAlignmentFormats="0" applyWidthHeightFormats="0">
  <queryTableRefresh nextId="4">
    <queryTableFields count="3">
      <queryTableField id="1" name="Transportadora" tableColumnId="1"/>
      <queryTableField id="2" name="Rota" tableColumnId="2"/>
      <queryTableField id="3" name="Praz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2A185-7D0A-4322-B2CB-EBE6CAEE614A}" name="Itinerários_RJ_por_transportadora_pdf" displayName="Itinerários_RJ_por_transportadora_pdf" ref="A1:C643" tableType="queryTable" totalsRowShown="0">
  <autoFilter ref="A1:C643" xr:uid="{C312A185-7D0A-4322-B2CB-EBE6CAEE614A}"/>
  <tableColumns count="3">
    <tableColumn id="1" xr3:uid="{D24F0DD2-635C-4D05-B5A9-8B23F9D6C030}" uniqueName="1" name="Transportadora" queryTableFieldId="1"/>
    <tableColumn id="2" xr3:uid="{127D5F91-1E04-4CB0-923C-112DB59F7164}" uniqueName="2" name="Rota" queryTableFieldId="2"/>
    <tableColumn id="3" xr3:uid="{DB889D92-64DE-4401-AE5B-639BF63ACEC2}" uniqueName="3" name="Prazo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600BE-7814-445D-B061-23FB210F9688}" name="Itinerários_SP_por_transportadora_pdf" displayName="Itinerários_SP_por_transportadora_pdf" ref="A1:C1000" tableType="queryTable" totalsRowShown="0">
  <autoFilter ref="A1:C1000" xr:uid="{E1B600BE-7814-445D-B061-23FB210F9688}"/>
  <tableColumns count="3">
    <tableColumn id="1" xr3:uid="{A8AA3D35-9B3E-4FAA-84AB-B0497A3B3F00}" uniqueName="1" name="Transportadora" queryTableFieldId="1" dataDxfId="5"/>
    <tableColumn id="2" xr3:uid="{0856C254-747F-4727-98EA-187E7788D545}" uniqueName="2" name="Rota" queryTableFieldId="2"/>
    <tableColumn id="3" xr3:uid="{51926D8B-AB7F-475F-854F-ED029E8B4925}" uniqueName="3" name="Praz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7B2D8-608C-4FCB-B8BD-C20BC1E13F83}" name="Itinerários_MG_por_transportadora_pdf" displayName="Itinerários_MG_por_transportadora_pdf" ref="A1:C984" tableType="queryTable" totalsRowShown="0">
  <autoFilter ref="A1:C984" xr:uid="{4677B2D8-608C-4FCB-B8BD-C20BC1E13F83}"/>
  <tableColumns count="3">
    <tableColumn id="1" xr3:uid="{97F3861F-A559-48F2-80BC-D859C3E3D5DA}" uniqueName="1" name="Transportadora" queryTableFieldId="1"/>
    <tableColumn id="2" xr3:uid="{117F6234-851C-495A-BBA1-39A5D9BC100C}" uniqueName="2" name="Rota" queryTableFieldId="2"/>
    <tableColumn id="3" xr3:uid="{B05B78FD-06A2-4A74-B0B8-65C4D6CC56A4}" uniqueName="3" name="Prazo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73176A-0DF4-417F-9AB7-3C927FF49325}" name="Itinerários_ES_por_transportadora_pdf" displayName="Itinerários_ES_por_transportadora_pdf" ref="A1:C294" tableType="queryTable" totalsRowShown="0">
  <autoFilter ref="A1:C294" xr:uid="{7C73176A-0DF4-417F-9AB7-3C927FF49325}"/>
  <tableColumns count="3">
    <tableColumn id="1" xr3:uid="{E35D2D6D-7A91-4686-882D-2FF2D5897747}" uniqueName="1" name="Transportadora" queryTableFieldId="1"/>
    <tableColumn id="2" xr3:uid="{17CACCAA-BBA6-4A71-B222-E96693628FBF}" uniqueName="2" name="Rota" queryTableFieldId="2"/>
    <tableColumn id="3" xr3:uid="{CAE6ED5F-7184-4B96-9565-02C6155943E7}" uniqueName="3" name="Prazo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5C82-97AD-4C7C-ABA8-2EE160E7AA1C}">
  <dimension ref="A1:C643"/>
  <sheetViews>
    <sheetView topLeftCell="A607" workbookViewId="0">
      <selection activeCell="A2" sqref="A2:A643"/>
    </sheetView>
  </sheetViews>
  <sheetFormatPr defaultRowHeight="15"/>
  <cols>
    <col min="1" max="1" width="60.7109375" bestFit="1" customWidth="1"/>
    <col min="2" max="2" width="10.28515625" bestFit="1" customWidth="1"/>
    <col min="3" max="3" width="8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6</v>
      </c>
      <c r="B4" t="s">
        <v>8</v>
      </c>
      <c r="C4" t="s">
        <v>5</v>
      </c>
    </row>
    <row r="5" spans="1:3">
      <c r="A5" t="s">
        <v>6</v>
      </c>
      <c r="B5" t="s">
        <v>9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10</v>
      </c>
      <c r="B7" t="s">
        <v>9</v>
      </c>
      <c r="C7" t="s">
        <v>5</v>
      </c>
    </row>
    <row r="8" spans="1:3">
      <c r="A8" t="s">
        <v>11</v>
      </c>
      <c r="B8" t="s">
        <v>12</v>
      </c>
      <c r="C8" t="s">
        <v>5</v>
      </c>
    </row>
    <row r="9" spans="1:3">
      <c r="A9" t="s">
        <v>11</v>
      </c>
      <c r="B9" t="s">
        <v>13</v>
      </c>
      <c r="C9" t="s">
        <v>5</v>
      </c>
    </row>
    <row r="10" spans="1:3">
      <c r="A10" t="s">
        <v>11</v>
      </c>
      <c r="B10" t="s">
        <v>7</v>
      </c>
      <c r="C10" t="s">
        <v>5</v>
      </c>
    </row>
    <row r="11" spans="1:3">
      <c r="A11" t="s">
        <v>11</v>
      </c>
      <c r="B11" t="s">
        <v>4</v>
      </c>
      <c r="C11" t="s">
        <v>5</v>
      </c>
    </row>
    <row r="12" spans="1:3">
      <c r="A12" t="s">
        <v>11</v>
      </c>
      <c r="B12" t="s">
        <v>14</v>
      </c>
      <c r="C12" t="s">
        <v>5</v>
      </c>
    </row>
    <row r="13" spans="1:3">
      <c r="A13" t="s">
        <v>11</v>
      </c>
      <c r="B13" t="s">
        <v>15</v>
      </c>
      <c r="C13" t="s">
        <v>5</v>
      </c>
    </row>
    <row r="14" spans="1:3">
      <c r="A14" t="s">
        <v>11</v>
      </c>
      <c r="B14" t="s">
        <v>16</v>
      </c>
      <c r="C14" t="s">
        <v>5</v>
      </c>
    </row>
    <row r="15" spans="1:3">
      <c r="A15" t="s">
        <v>11</v>
      </c>
      <c r="B15" t="s">
        <v>17</v>
      </c>
      <c r="C15" t="s">
        <v>5</v>
      </c>
    </row>
    <row r="16" spans="1:3">
      <c r="A16" t="s">
        <v>11</v>
      </c>
      <c r="B16" t="s">
        <v>18</v>
      </c>
      <c r="C16" t="s">
        <v>5</v>
      </c>
    </row>
    <row r="17" spans="1:3">
      <c r="A17" t="s">
        <v>11</v>
      </c>
      <c r="B17" t="s">
        <v>19</v>
      </c>
      <c r="C17" t="s">
        <v>5</v>
      </c>
    </row>
    <row r="18" spans="1:3">
      <c r="A18" t="s">
        <v>11</v>
      </c>
      <c r="B18" t="s">
        <v>20</v>
      </c>
      <c r="C18" t="s">
        <v>5</v>
      </c>
    </row>
    <row r="19" spans="1:3">
      <c r="A19" t="s">
        <v>11</v>
      </c>
      <c r="B19" t="s">
        <v>8</v>
      </c>
      <c r="C19" t="s">
        <v>5</v>
      </c>
    </row>
    <row r="20" spans="1:3">
      <c r="A20" t="s">
        <v>21</v>
      </c>
      <c r="B20" t="s">
        <v>7</v>
      </c>
      <c r="C20" t="s">
        <v>5</v>
      </c>
    </row>
    <row r="21" spans="1:3">
      <c r="A21" t="s">
        <v>21</v>
      </c>
      <c r="B21" t="s">
        <v>4</v>
      </c>
      <c r="C21" t="s">
        <v>5</v>
      </c>
    </row>
    <row r="22" spans="1:3">
      <c r="A22" t="s">
        <v>22</v>
      </c>
      <c r="C22" t="s">
        <v>5</v>
      </c>
    </row>
    <row r="23" spans="1:3">
      <c r="A23" t="s">
        <v>23</v>
      </c>
      <c r="C23" t="s">
        <v>5</v>
      </c>
    </row>
    <row r="24" spans="1:3">
      <c r="A24" t="s">
        <v>24</v>
      </c>
      <c r="B24" t="s">
        <v>12</v>
      </c>
      <c r="C24" t="s">
        <v>5</v>
      </c>
    </row>
    <row r="25" spans="1:3">
      <c r="A25" t="s">
        <v>24</v>
      </c>
      <c r="B25" t="s">
        <v>25</v>
      </c>
      <c r="C25" t="s">
        <v>5</v>
      </c>
    </row>
    <row r="26" spans="1:3">
      <c r="A26" t="s">
        <v>24</v>
      </c>
      <c r="B26" t="s">
        <v>13</v>
      </c>
      <c r="C26" t="s">
        <v>5</v>
      </c>
    </row>
    <row r="27" spans="1:3">
      <c r="A27" t="s">
        <v>24</v>
      </c>
      <c r="B27" t="s">
        <v>26</v>
      </c>
      <c r="C27" t="s">
        <v>5</v>
      </c>
    </row>
    <row r="28" spans="1:3">
      <c r="A28" t="s">
        <v>24</v>
      </c>
      <c r="B28" t="s">
        <v>7</v>
      </c>
      <c r="C28" t="s">
        <v>5</v>
      </c>
    </row>
    <row r="29" spans="1:3">
      <c r="A29" t="s">
        <v>24</v>
      </c>
      <c r="B29" t="s">
        <v>4</v>
      </c>
      <c r="C29" t="s">
        <v>5</v>
      </c>
    </row>
    <row r="30" spans="1:3">
      <c r="A30" t="s">
        <v>24</v>
      </c>
      <c r="B30" t="s">
        <v>14</v>
      </c>
      <c r="C30" t="s">
        <v>5</v>
      </c>
    </row>
    <row r="31" spans="1:3">
      <c r="A31" t="s">
        <v>24</v>
      </c>
      <c r="B31" t="s">
        <v>27</v>
      </c>
      <c r="C31" t="s">
        <v>5</v>
      </c>
    </row>
    <row r="32" spans="1:3">
      <c r="A32" t="s">
        <v>24</v>
      </c>
      <c r="B32" t="s">
        <v>15</v>
      </c>
      <c r="C32" t="s">
        <v>5</v>
      </c>
    </row>
    <row r="33" spans="1:3">
      <c r="A33" t="s">
        <v>24</v>
      </c>
      <c r="B33" t="s">
        <v>28</v>
      </c>
      <c r="C33" t="s">
        <v>5</v>
      </c>
    </row>
    <row r="34" spans="1:3">
      <c r="A34" t="s">
        <v>24</v>
      </c>
      <c r="B34" t="s">
        <v>16</v>
      </c>
      <c r="C34" t="s">
        <v>5</v>
      </c>
    </row>
    <row r="35" spans="1:3">
      <c r="A35" t="s">
        <v>24</v>
      </c>
      <c r="B35" t="s">
        <v>29</v>
      </c>
      <c r="C35" t="s">
        <v>5</v>
      </c>
    </row>
    <row r="36" spans="1:3">
      <c r="A36" t="s">
        <v>24</v>
      </c>
      <c r="B36" t="s">
        <v>17</v>
      </c>
      <c r="C36" t="s">
        <v>5</v>
      </c>
    </row>
    <row r="37" spans="1:3">
      <c r="A37" t="s">
        <v>24</v>
      </c>
      <c r="B37" t="s">
        <v>30</v>
      </c>
      <c r="C37" t="s">
        <v>5</v>
      </c>
    </row>
    <row r="38" spans="1:3">
      <c r="A38" t="s">
        <v>24</v>
      </c>
      <c r="B38" t="s">
        <v>18</v>
      </c>
      <c r="C38" t="s">
        <v>5</v>
      </c>
    </row>
    <row r="39" spans="1:3">
      <c r="A39" t="s">
        <v>24</v>
      </c>
      <c r="B39" t="s">
        <v>31</v>
      </c>
      <c r="C39" t="s">
        <v>5</v>
      </c>
    </row>
    <row r="40" spans="1:3">
      <c r="A40" t="s">
        <v>24</v>
      </c>
      <c r="B40" t="s">
        <v>19</v>
      </c>
      <c r="C40" t="s">
        <v>5</v>
      </c>
    </row>
    <row r="41" spans="1:3">
      <c r="A41" t="s">
        <v>24</v>
      </c>
      <c r="B41" t="s">
        <v>32</v>
      </c>
      <c r="C41" t="s">
        <v>5</v>
      </c>
    </row>
    <row r="42" spans="1:3">
      <c r="A42" t="s">
        <v>24</v>
      </c>
      <c r="B42" t="s">
        <v>20</v>
      </c>
      <c r="C42" t="s">
        <v>5</v>
      </c>
    </row>
    <row r="43" spans="1:3">
      <c r="A43" t="s">
        <v>24</v>
      </c>
      <c r="B43" t="s">
        <v>33</v>
      </c>
      <c r="C43" t="s">
        <v>5</v>
      </c>
    </row>
    <row r="44" spans="1:3">
      <c r="A44" t="s">
        <v>34</v>
      </c>
      <c r="B44" t="s">
        <v>12</v>
      </c>
      <c r="C44" t="s">
        <v>5</v>
      </c>
    </row>
    <row r="45" spans="1:3">
      <c r="A45" t="s">
        <v>34</v>
      </c>
      <c r="B45" t="s">
        <v>13</v>
      </c>
      <c r="C45" t="s">
        <v>5</v>
      </c>
    </row>
    <row r="46" spans="1:3">
      <c r="A46" t="s">
        <v>34</v>
      </c>
      <c r="B46" t="s">
        <v>7</v>
      </c>
      <c r="C46" t="s">
        <v>5</v>
      </c>
    </row>
    <row r="47" spans="1:3">
      <c r="A47" t="s">
        <v>34</v>
      </c>
      <c r="B47" t="s">
        <v>4</v>
      </c>
      <c r="C47" t="s">
        <v>5</v>
      </c>
    </row>
    <row r="48" spans="1:3">
      <c r="A48" t="s">
        <v>34</v>
      </c>
      <c r="B48" t="s">
        <v>14</v>
      </c>
      <c r="C48" t="s">
        <v>5</v>
      </c>
    </row>
    <row r="49" spans="1:3">
      <c r="A49" t="s">
        <v>34</v>
      </c>
      <c r="B49" t="s">
        <v>15</v>
      </c>
      <c r="C49" t="s">
        <v>5</v>
      </c>
    </row>
    <row r="50" spans="1:3">
      <c r="A50" t="s">
        <v>34</v>
      </c>
      <c r="B50" t="s">
        <v>16</v>
      </c>
      <c r="C50" t="s">
        <v>5</v>
      </c>
    </row>
    <row r="51" spans="1:3">
      <c r="A51" t="s">
        <v>34</v>
      </c>
      <c r="B51" t="s">
        <v>17</v>
      </c>
      <c r="C51" t="s">
        <v>5</v>
      </c>
    </row>
    <row r="52" spans="1:3">
      <c r="A52" t="s">
        <v>34</v>
      </c>
      <c r="B52" t="s">
        <v>30</v>
      </c>
      <c r="C52" t="s">
        <v>5</v>
      </c>
    </row>
    <row r="53" spans="1:3">
      <c r="A53" t="s">
        <v>34</v>
      </c>
      <c r="B53" t="s">
        <v>18</v>
      </c>
      <c r="C53" t="s">
        <v>5</v>
      </c>
    </row>
    <row r="54" spans="1:3">
      <c r="A54" t="s">
        <v>34</v>
      </c>
      <c r="B54" t="s">
        <v>19</v>
      </c>
      <c r="C54" t="s">
        <v>5</v>
      </c>
    </row>
    <row r="55" spans="1:3">
      <c r="A55" t="s">
        <v>34</v>
      </c>
      <c r="B55" t="s">
        <v>32</v>
      </c>
      <c r="C55" t="s">
        <v>5</v>
      </c>
    </row>
    <row r="56" spans="1:3">
      <c r="A56" t="s">
        <v>34</v>
      </c>
      <c r="B56" t="s">
        <v>20</v>
      </c>
      <c r="C56" t="s">
        <v>5</v>
      </c>
    </row>
    <row r="57" spans="1:3">
      <c r="A57" t="s">
        <v>35</v>
      </c>
      <c r="B57" t="s">
        <v>4</v>
      </c>
      <c r="C57" t="s">
        <v>5</v>
      </c>
    </row>
    <row r="58" spans="1:3">
      <c r="A58" t="s">
        <v>36</v>
      </c>
      <c r="B58" t="s">
        <v>19</v>
      </c>
      <c r="C58" t="s">
        <v>5</v>
      </c>
    </row>
    <row r="59" spans="1:3">
      <c r="A59" t="s">
        <v>37</v>
      </c>
      <c r="B59" t="s">
        <v>7</v>
      </c>
      <c r="C59" t="s">
        <v>5</v>
      </c>
    </row>
    <row r="60" spans="1:3">
      <c r="A60" t="s">
        <v>38</v>
      </c>
      <c r="B60" t="s">
        <v>12</v>
      </c>
      <c r="C60" t="s">
        <v>5</v>
      </c>
    </row>
    <row r="61" spans="1:3">
      <c r="A61" t="s">
        <v>38</v>
      </c>
      <c r="B61" t="s">
        <v>25</v>
      </c>
      <c r="C61" t="s">
        <v>5</v>
      </c>
    </row>
    <row r="62" spans="1:3">
      <c r="A62" t="s">
        <v>38</v>
      </c>
      <c r="B62" t="s">
        <v>13</v>
      </c>
      <c r="C62" t="s">
        <v>5</v>
      </c>
    </row>
    <row r="63" spans="1:3">
      <c r="A63" t="s">
        <v>38</v>
      </c>
      <c r="B63" t="s">
        <v>26</v>
      </c>
      <c r="C63" t="s">
        <v>5</v>
      </c>
    </row>
    <row r="64" spans="1:3">
      <c r="A64" t="s">
        <v>38</v>
      </c>
      <c r="B64" t="s">
        <v>7</v>
      </c>
      <c r="C64" t="s">
        <v>5</v>
      </c>
    </row>
    <row r="65" spans="1:3">
      <c r="A65" t="s">
        <v>38</v>
      </c>
      <c r="B65" t="s">
        <v>4</v>
      </c>
      <c r="C65" t="s">
        <v>5</v>
      </c>
    </row>
    <row r="66" spans="1:3">
      <c r="A66" t="s">
        <v>38</v>
      </c>
      <c r="B66" t="s">
        <v>14</v>
      </c>
      <c r="C66" t="s">
        <v>5</v>
      </c>
    </row>
    <row r="67" spans="1:3">
      <c r="A67" t="s">
        <v>38</v>
      </c>
      <c r="B67" t="s">
        <v>27</v>
      </c>
      <c r="C67" t="s">
        <v>5</v>
      </c>
    </row>
    <row r="68" spans="1:3">
      <c r="A68" t="s">
        <v>38</v>
      </c>
      <c r="B68" t="s">
        <v>15</v>
      </c>
      <c r="C68" t="s">
        <v>5</v>
      </c>
    </row>
    <row r="69" spans="1:3">
      <c r="A69" t="s">
        <v>38</v>
      </c>
      <c r="B69" t="s">
        <v>28</v>
      </c>
      <c r="C69" t="s">
        <v>5</v>
      </c>
    </row>
    <row r="70" spans="1:3">
      <c r="A70" t="s">
        <v>38</v>
      </c>
      <c r="B70" t="s">
        <v>16</v>
      </c>
      <c r="C70" t="s">
        <v>5</v>
      </c>
    </row>
    <row r="71" spans="1:3">
      <c r="A71" t="s">
        <v>38</v>
      </c>
      <c r="B71" t="s">
        <v>29</v>
      </c>
      <c r="C71" t="s">
        <v>5</v>
      </c>
    </row>
    <row r="72" spans="1:3">
      <c r="A72" t="s">
        <v>38</v>
      </c>
      <c r="B72" t="s">
        <v>17</v>
      </c>
      <c r="C72" t="s">
        <v>5</v>
      </c>
    </row>
    <row r="73" spans="1:3">
      <c r="A73" t="s">
        <v>38</v>
      </c>
      <c r="B73" t="s">
        <v>30</v>
      </c>
      <c r="C73" t="s">
        <v>5</v>
      </c>
    </row>
    <row r="74" spans="1:3">
      <c r="A74" t="s">
        <v>38</v>
      </c>
      <c r="B74" t="s">
        <v>18</v>
      </c>
      <c r="C74" t="s">
        <v>5</v>
      </c>
    </row>
    <row r="75" spans="1:3">
      <c r="A75" t="s">
        <v>38</v>
      </c>
      <c r="B75" t="s">
        <v>31</v>
      </c>
      <c r="C75" t="s">
        <v>5</v>
      </c>
    </row>
    <row r="76" spans="1:3">
      <c r="A76" t="s">
        <v>38</v>
      </c>
      <c r="B76" t="s">
        <v>19</v>
      </c>
      <c r="C76" t="s">
        <v>5</v>
      </c>
    </row>
    <row r="77" spans="1:3">
      <c r="A77" t="s">
        <v>38</v>
      </c>
      <c r="B77" t="s">
        <v>32</v>
      </c>
      <c r="C77" t="s">
        <v>5</v>
      </c>
    </row>
    <row r="78" spans="1:3">
      <c r="A78" t="s">
        <v>38</v>
      </c>
      <c r="B78" t="s">
        <v>20</v>
      </c>
      <c r="C78" t="s">
        <v>5</v>
      </c>
    </row>
    <row r="79" spans="1:3">
      <c r="A79" t="s">
        <v>38</v>
      </c>
      <c r="B79" t="s">
        <v>33</v>
      </c>
      <c r="C79" t="s">
        <v>5</v>
      </c>
    </row>
    <row r="80" spans="1:3">
      <c r="A80" t="s">
        <v>38</v>
      </c>
      <c r="B80" t="s">
        <v>8</v>
      </c>
      <c r="C80" t="s">
        <v>5</v>
      </c>
    </row>
    <row r="81" spans="1:3">
      <c r="A81" t="s">
        <v>38</v>
      </c>
      <c r="B81" t="s">
        <v>9</v>
      </c>
      <c r="C81" t="s">
        <v>5</v>
      </c>
    </row>
    <row r="82" spans="1:3">
      <c r="A82" t="s">
        <v>39</v>
      </c>
      <c r="B82" t="s">
        <v>12</v>
      </c>
      <c r="C82" t="s">
        <v>5</v>
      </c>
    </row>
    <row r="83" spans="1:3">
      <c r="A83" t="s">
        <v>39</v>
      </c>
      <c r="B83" t="s">
        <v>25</v>
      </c>
      <c r="C83" t="s">
        <v>5</v>
      </c>
    </row>
    <row r="84" spans="1:3">
      <c r="A84" t="s">
        <v>39</v>
      </c>
      <c r="B84" t="s">
        <v>13</v>
      </c>
      <c r="C84" t="s">
        <v>5</v>
      </c>
    </row>
    <row r="85" spans="1:3">
      <c r="A85" t="s">
        <v>39</v>
      </c>
      <c r="B85" t="s">
        <v>26</v>
      </c>
      <c r="C85" t="s">
        <v>5</v>
      </c>
    </row>
    <row r="86" spans="1:3">
      <c r="A86" t="s">
        <v>39</v>
      </c>
      <c r="B86" t="s">
        <v>7</v>
      </c>
      <c r="C86" t="s">
        <v>5</v>
      </c>
    </row>
    <row r="87" spans="1:3">
      <c r="A87" t="s">
        <v>39</v>
      </c>
      <c r="B87" t="s">
        <v>4</v>
      </c>
      <c r="C87" t="s">
        <v>5</v>
      </c>
    </row>
    <row r="88" spans="1:3">
      <c r="A88" t="s">
        <v>39</v>
      </c>
      <c r="B88" t="s">
        <v>14</v>
      </c>
      <c r="C88" t="s">
        <v>5</v>
      </c>
    </row>
    <row r="89" spans="1:3">
      <c r="A89" t="s">
        <v>39</v>
      </c>
      <c r="B89" t="s">
        <v>27</v>
      </c>
      <c r="C89" t="s">
        <v>5</v>
      </c>
    </row>
    <row r="90" spans="1:3">
      <c r="A90" t="s">
        <v>39</v>
      </c>
      <c r="B90" t="s">
        <v>15</v>
      </c>
      <c r="C90" t="s">
        <v>5</v>
      </c>
    </row>
    <row r="91" spans="1:3">
      <c r="A91" t="s">
        <v>39</v>
      </c>
      <c r="B91" t="s">
        <v>28</v>
      </c>
      <c r="C91" t="s">
        <v>5</v>
      </c>
    </row>
    <row r="92" spans="1:3">
      <c r="A92" t="s">
        <v>39</v>
      </c>
      <c r="B92" t="s">
        <v>16</v>
      </c>
      <c r="C92" t="s">
        <v>5</v>
      </c>
    </row>
    <row r="93" spans="1:3">
      <c r="A93" t="s">
        <v>39</v>
      </c>
      <c r="B93" t="s">
        <v>29</v>
      </c>
      <c r="C93" t="s">
        <v>5</v>
      </c>
    </row>
    <row r="94" spans="1:3">
      <c r="A94" t="s">
        <v>39</v>
      </c>
      <c r="B94" t="s">
        <v>17</v>
      </c>
      <c r="C94" t="s">
        <v>5</v>
      </c>
    </row>
    <row r="95" spans="1:3">
      <c r="A95" t="s">
        <v>39</v>
      </c>
      <c r="B95" t="s">
        <v>30</v>
      </c>
      <c r="C95" t="s">
        <v>5</v>
      </c>
    </row>
    <row r="96" spans="1:3">
      <c r="A96" t="s">
        <v>39</v>
      </c>
      <c r="B96" t="s">
        <v>18</v>
      </c>
      <c r="C96" t="s">
        <v>5</v>
      </c>
    </row>
    <row r="97" spans="1:3">
      <c r="A97" t="s">
        <v>39</v>
      </c>
      <c r="B97" t="s">
        <v>31</v>
      </c>
      <c r="C97" t="s">
        <v>5</v>
      </c>
    </row>
    <row r="98" spans="1:3">
      <c r="A98" t="s">
        <v>39</v>
      </c>
      <c r="B98" t="s">
        <v>19</v>
      </c>
      <c r="C98" t="s">
        <v>5</v>
      </c>
    </row>
    <row r="99" spans="1:3">
      <c r="A99" t="s">
        <v>39</v>
      </c>
      <c r="B99" t="s">
        <v>32</v>
      </c>
      <c r="C99" t="s">
        <v>5</v>
      </c>
    </row>
    <row r="100" spans="1:3">
      <c r="A100" t="s">
        <v>39</v>
      </c>
      <c r="B100" t="s">
        <v>20</v>
      </c>
      <c r="C100" t="s">
        <v>5</v>
      </c>
    </row>
    <row r="101" spans="1:3">
      <c r="A101" t="s">
        <v>39</v>
      </c>
      <c r="B101" t="s">
        <v>33</v>
      </c>
      <c r="C101" t="s">
        <v>5</v>
      </c>
    </row>
    <row r="102" spans="1:3">
      <c r="A102" t="s">
        <v>40</v>
      </c>
      <c r="B102" t="s">
        <v>12</v>
      </c>
      <c r="C102" t="s">
        <v>5</v>
      </c>
    </row>
    <row r="103" spans="1:3">
      <c r="A103" t="s">
        <v>40</v>
      </c>
      <c r="B103" t="s">
        <v>13</v>
      </c>
      <c r="C103" t="s">
        <v>5</v>
      </c>
    </row>
    <row r="104" spans="1:3">
      <c r="A104" t="s">
        <v>40</v>
      </c>
      <c r="B104" t="s">
        <v>7</v>
      </c>
      <c r="C104" t="s">
        <v>5</v>
      </c>
    </row>
    <row r="105" spans="1:3">
      <c r="A105" t="s">
        <v>40</v>
      </c>
      <c r="B105" t="s">
        <v>14</v>
      </c>
      <c r="C105" t="s">
        <v>5</v>
      </c>
    </row>
    <row r="106" spans="1:3">
      <c r="A106" t="s">
        <v>40</v>
      </c>
      <c r="B106" t="s">
        <v>15</v>
      </c>
      <c r="C106" t="s">
        <v>5</v>
      </c>
    </row>
    <row r="107" spans="1:3">
      <c r="A107" t="s">
        <v>40</v>
      </c>
      <c r="B107" t="s">
        <v>16</v>
      </c>
      <c r="C107" t="s">
        <v>5</v>
      </c>
    </row>
    <row r="108" spans="1:3">
      <c r="A108" t="s">
        <v>40</v>
      </c>
      <c r="B108" t="s">
        <v>17</v>
      </c>
      <c r="C108" t="s">
        <v>5</v>
      </c>
    </row>
    <row r="109" spans="1:3">
      <c r="A109" t="s">
        <v>40</v>
      </c>
      <c r="B109" t="s">
        <v>18</v>
      </c>
      <c r="C109" t="s">
        <v>5</v>
      </c>
    </row>
    <row r="110" spans="1:3">
      <c r="A110" t="s">
        <v>40</v>
      </c>
      <c r="B110" t="s">
        <v>19</v>
      </c>
      <c r="C110" t="s">
        <v>5</v>
      </c>
    </row>
    <row r="111" spans="1:3">
      <c r="A111" t="s">
        <v>40</v>
      </c>
      <c r="B111" t="s">
        <v>20</v>
      </c>
      <c r="C111" t="s">
        <v>5</v>
      </c>
    </row>
    <row r="112" spans="1:3">
      <c r="A112" t="s">
        <v>41</v>
      </c>
      <c r="B112" t="s">
        <v>12</v>
      </c>
      <c r="C112" t="s">
        <v>5</v>
      </c>
    </row>
    <row r="113" spans="1:3">
      <c r="A113" t="s">
        <v>41</v>
      </c>
      <c r="B113" t="s">
        <v>25</v>
      </c>
      <c r="C113" t="s">
        <v>5</v>
      </c>
    </row>
    <row r="114" spans="1:3">
      <c r="A114" t="s">
        <v>41</v>
      </c>
      <c r="B114" t="s">
        <v>13</v>
      </c>
      <c r="C114" t="s">
        <v>5</v>
      </c>
    </row>
    <row r="115" spans="1:3">
      <c r="A115" t="s">
        <v>41</v>
      </c>
      <c r="B115" t="s">
        <v>26</v>
      </c>
      <c r="C115" t="s">
        <v>5</v>
      </c>
    </row>
    <row r="116" spans="1:3">
      <c r="A116" t="s">
        <v>41</v>
      </c>
      <c r="B116" t="s">
        <v>7</v>
      </c>
      <c r="C116" t="s">
        <v>5</v>
      </c>
    </row>
    <row r="117" spans="1:3">
      <c r="A117" t="s">
        <v>41</v>
      </c>
      <c r="B117" t="s">
        <v>4</v>
      </c>
      <c r="C117" t="s">
        <v>5</v>
      </c>
    </row>
    <row r="118" spans="1:3">
      <c r="A118" t="s">
        <v>41</v>
      </c>
      <c r="B118" t="s">
        <v>14</v>
      </c>
      <c r="C118" t="s">
        <v>5</v>
      </c>
    </row>
    <row r="119" spans="1:3">
      <c r="A119" t="s">
        <v>41</v>
      </c>
      <c r="B119" t="s">
        <v>27</v>
      </c>
      <c r="C119" t="s">
        <v>5</v>
      </c>
    </row>
    <row r="120" spans="1:3">
      <c r="A120" t="s">
        <v>41</v>
      </c>
      <c r="B120" t="s">
        <v>15</v>
      </c>
      <c r="C120" t="s">
        <v>5</v>
      </c>
    </row>
    <row r="121" spans="1:3">
      <c r="A121" t="s">
        <v>41</v>
      </c>
      <c r="B121" t="s">
        <v>28</v>
      </c>
      <c r="C121" t="s">
        <v>5</v>
      </c>
    </row>
    <row r="122" spans="1:3">
      <c r="A122" t="s">
        <v>41</v>
      </c>
      <c r="B122" t="s">
        <v>16</v>
      </c>
      <c r="C122" t="s">
        <v>5</v>
      </c>
    </row>
    <row r="123" spans="1:3">
      <c r="A123" t="s">
        <v>41</v>
      </c>
      <c r="B123" t="s">
        <v>29</v>
      </c>
      <c r="C123" t="s">
        <v>5</v>
      </c>
    </row>
    <row r="124" spans="1:3">
      <c r="A124" t="s">
        <v>41</v>
      </c>
      <c r="B124" t="s">
        <v>17</v>
      </c>
      <c r="C124" t="s">
        <v>5</v>
      </c>
    </row>
    <row r="125" spans="1:3">
      <c r="A125" t="s">
        <v>41</v>
      </c>
      <c r="B125" t="s">
        <v>30</v>
      </c>
      <c r="C125" t="s">
        <v>5</v>
      </c>
    </row>
    <row r="126" spans="1:3">
      <c r="A126" t="s">
        <v>41</v>
      </c>
      <c r="B126" t="s">
        <v>18</v>
      </c>
      <c r="C126" t="s">
        <v>5</v>
      </c>
    </row>
    <row r="127" spans="1:3">
      <c r="A127" t="s">
        <v>41</v>
      </c>
      <c r="B127" t="s">
        <v>31</v>
      </c>
      <c r="C127" t="s">
        <v>5</v>
      </c>
    </row>
    <row r="128" spans="1:3">
      <c r="A128" t="s">
        <v>41</v>
      </c>
      <c r="B128" t="s">
        <v>19</v>
      </c>
      <c r="C128" t="s">
        <v>5</v>
      </c>
    </row>
    <row r="129" spans="1:3">
      <c r="A129" t="s">
        <v>41</v>
      </c>
      <c r="B129" t="s">
        <v>32</v>
      </c>
      <c r="C129" t="s">
        <v>5</v>
      </c>
    </row>
    <row r="130" spans="1:3">
      <c r="A130" t="s">
        <v>41</v>
      </c>
      <c r="B130" t="s">
        <v>20</v>
      </c>
      <c r="C130" t="s">
        <v>5</v>
      </c>
    </row>
    <row r="131" spans="1:3">
      <c r="A131" t="s">
        <v>41</v>
      </c>
      <c r="B131" t="s">
        <v>33</v>
      </c>
      <c r="C131" t="s">
        <v>5</v>
      </c>
    </row>
    <row r="132" spans="1:3">
      <c r="A132" t="s">
        <v>42</v>
      </c>
      <c r="B132" t="s">
        <v>12</v>
      </c>
      <c r="C132" t="s">
        <v>5</v>
      </c>
    </row>
    <row r="133" spans="1:3">
      <c r="A133" t="s">
        <v>42</v>
      </c>
      <c r="B133" t="s">
        <v>13</v>
      </c>
      <c r="C133" t="s">
        <v>5</v>
      </c>
    </row>
    <row r="134" spans="1:3">
      <c r="A134" t="s">
        <v>42</v>
      </c>
      <c r="B134" t="s">
        <v>7</v>
      </c>
      <c r="C134" t="s">
        <v>5</v>
      </c>
    </row>
    <row r="135" spans="1:3">
      <c r="A135" t="s">
        <v>42</v>
      </c>
      <c r="B135" t="s">
        <v>14</v>
      </c>
      <c r="C135" t="s">
        <v>5</v>
      </c>
    </row>
    <row r="136" spans="1:3">
      <c r="A136" t="s">
        <v>42</v>
      </c>
      <c r="B136" t="s">
        <v>15</v>
      </c>
      <c r="C136" t="s">
        <v>5</v>
      </c>
    </row>
    <row r="137" spans="1:3">
      <c r="A137" t="s">
        <v>42</v>
      </c>
      <c r="B137" t="s">
        <v>16</v>
      </c>
      <c r="C137" t="s">
        <v>5</v>
      </c>
    </row>
    <row r="138" spans="1:3">
      <c r="A138" t="s">
        <v>42</v>
      </c>
      <c r="B138" t="s">
        <v>17</v>
      </c>
      <c r="C138" t="s">
        <v>5</v>
      </c>
    </row>
    <row r="139" spans="1:3">
      <c r="A139" t="s">
        <v>42</v>
      </c>
      <c r="B139" t="s">
        <v>18</v>
      </c>
      <c r="C139" t="s">
        <v>5</v>
      </c>
    </row>
    <row r="140" spans="1:3">
      <c r="A140" t="s">
        <v>42</v>
      </c>
      <c r="B140" t="s">
        <v>19</v>
      </c>
      <c r="C140" t="s">
        <v>5</v>
      </c>
    </row>
    <row r="141" spans="1:3">
      <c r="A141" t="s">
        <v>42</v>
      </c>
      <c r="B141" t="s">
        <v>20</v>
      </c>
      <c r="C141" t="s">
        <v>5</v>
      </c>
    </row>
    <row r="142" spans="1:3">
      <c r="A142" t="s">
        <v>43</v>
      </c>
      <c r="B142" t="s">
        <v>12</v>
      </c>
      <c r="C142" t="s">
        <v>5</v>
      </c>
    </row>
    <row r="143" spans="1:3">
      <c r="A143" t="s">
        <v>43</v>
      </c>
      <c r="B143" t="s">
        <v>44</v>
      </c>
      <c r="C143" t="s">
        <v>5</v>
      </c>
    </row>
    <row r="144" spans="1:3">
      <c r="A144" t="s">
        <v>43</v>
      </c>
      <c r="B144" t="s">
        <v>25</v>
      </c>
      <c r="C144" t="s">
        <v>5</v>
      </c>
    </row>
    <row r="145" spans="1:3">
      <c r="A145" t="s">
        <v>43</v>
      </c>
      <c r="B145" t="s">
        <v>13</v>
      </c>
      <c r="C145" t="s">
        <v>5</v>
      </c>
    </row>
    <row r="146" spans="1:3">
      <c r="A146" t="s">
        <v>43</v>
      </c>
      <c r="B146" t="s">
        <v>45</v>
      </c>
      <c r="C146" t="s">
        <v>5</v>
      </c>
    </row>
    <row r="147" spans="1:3">
      <c r="A147" t="s">
        <v>43</v>
      </c>
      <c r="B147" t="s">
        <v>26</v>
      </c>
      <c r="C147" t="s">
        <v>5</v>
      </c>
    </row>
    <row r="148" spans="1:3">
      <c r="A148" t="s">
        <v>43</v>
      </c>
      <c r="B148" t="s">
        <v>7</v>
      </c>
      <c r="C148" t="s">
        <v>5</v>
      </c>
    </row>
    <row r="149" spans="1:3">
      <c r="A149" t="s">
        <v>43</v>
      </c>
      <c r="B149" t="s">
        <v>46</v>
      </c>
      <c r="C149" t="s">
        <v>5</v>
      </c>
    </row>
    <row r="150" spans="1:3">
      <c r="A150" t="s">
        <v>43</v>
      </c>
      <c r="B150" t="s">
        <v>4</v>
      </c>
      <c r="C150" t="s">
        <v>5</v>
      </c>
    </row>
    <row r="151" spans="1:3">
      <c r="A151" t="s">
        <v>43</v>
      </c>
      <c r="B151" t="s">
        <v>14</v>
      </c>
      <c r="C151" t="s">
        <v>5</v>
      </c>
    </row>
    <row r="152" spans="1:3">
      <c r="A152" t="s">
        <v>43</v>
      </c>
      <c r="B152" t="s">
        <v>47</v>
      </c>
      <c r="C152" t="s">
        <v>5</v>
      </c>
    </row>
    <row r="153" spans="1:3">
      <c r="A153" t="s">
        <v>43</v>
      </c>
      <c r="B153" t="s">
        <v>27</v>
      </c>
      <c r="C153" t="s">
        <v>5</v>
      </c>
    </row>
    <row r="154" spans="1:3">
      <c r="A154" t="s">
        <v>43</v>
      </c>
      <c r="B154" t="s">
        <v>15</v>
      </c>
      <c r="C154" t="s">
        <v>5</v>
      </c>
    </row>
    <row r="155" spans="1:3">
      <c r="A155" t="s">
        <v>43</v>
      </c>
      <c r="B155" t="s">
        <v>48</v>
      </c>
      <c r="C155" t="s">
        <v>5</v>
      </c>
    </row>
    <row r="156" spans="1:3">
      <c r="A156" t="s">
        <v>43</v>
      </c>
      <c r="B156" t="s">
        <v>28</v>
      </c>
      <c r="C156" t="s">
        <v>5</v>
      </c>
    </row>
    <row r="157" spans="1:3">
      <c r="A157" t="s">
        <v>43</v>
      </c>
      <c r="B157" t="s">
        <v>16</v>
      </c>
      <c r="C157" t="s">
        <v>5</v>
      </c>
    </row>
    <row r="158" spans="1:3">
      <c r="A158" t="s">
        <v>43</v>
      </c>
      <c r="B158" t="s">
        <v>49</v>
      </c>
      <c r="C158" t="s">
        <v>5</v>
      </c>
    </row>
    <row r="159" spans="1:3">
      <c r="A159" t="s">
        <v>43</v>
      </c>
      <c r="B159" t="s">
        <v>29</v>
      </c>
      <c r="C159" t="s">
        <v>5</v>
      </c>
    </row>
    <row r="160" spans="1:3">
      <c r="A160" t="s">
        <v>43</v>
      </c>
      <c r="B160" t="s">
        <v>17</v>
      </c>
      <c r="C160" t="s">
        <v>5</v>
      </c>
    </row>
    <row r="161" spans="1:3">
      <c r="A161" t="s">
        <v>43</v>
      </c>
      <c r="B161" t="s">
        <v>50</v>
      </c>
      <c r="C161" t="s">
        <v>5</v>
      </c>
    </row>
    <row r="162" spans="1:3">
      <c r="A162" t="s">
        <v>43</v>
      </c>
      <c r="B162" t="s">
        <v>30</v>
      </c>
      <c r="C162" t="s">
        <v>5</v>
      </c>
    </row>
    <row r="163" spans="1:3">
      <c r="A163" t="s">
        <v>43</v>
      </c>
      <c r="B163" t="s">
        <v>18</v>
      </c>
      <c r="C163" t="s">
        <v>5</v>
      </c>
    </row>
    <row r="164" spans="1:3">
      <c r="A164" t="s">
        <v>43</v>
      </c>
      <c r="B164" t="s">
        <v>51</v>
      </c>
      <c r="C164" t="s">
        <v>5</v>
      </c>
    </row>
    <row r="165" spans="1:3">
      <c r="A165" t="s">
        <v>43</v>
      </c>
      <c r="B165" t="s">
        <v>31</v>
      </c>
      <c r="C165" t="s">
        <v>5</v>
      </c>
    </row>
    <row r="166" spans="1:3">
      <c r="A166" t="s">
        <v>43</v>
      </c>
      <c r="B166" t="s">
        <v>19</v>
      </c>
      <c r="C166" t="s">
        <v>5</v>
      </c>
    </row>
    <row r="167" spans="1:3">
      <c r="A167" t="s">
        <v>43</v>
      </c>
      <c r="B167" t="s">
        <v>52</v>
      </c>
      <c r="C167" t="s">
        <v>5</v>
      </c>
    </row>
    <row r="168" spans="1:3">
      <c r="A168" t="s">
        <v>43</v>
      </c>
      <c r="B168" t="s">
        <v>32</v>
      </c>
      <c r="C168" t="s">
        <v>5</v>
      </c>
    </row>
    <row r="169" spans="1:3">
      <c r="A169" t="s">
        <v>43</v>
      </c>
      <c r="B169" t="s">
        <v>20</v>
      </c>
      <c r="C169" t="s">
        <v>5</v>
      </c>
    </row>
    <row r="170" spans="1:3">
      <c r="A170" t="s">
        <v>43</v>
      </c>
      <c r="B170" t="s">
        <v>53</v>
      </c>
      <c r="C170" t="s">
        <v>5</v>
      </c>
    </row>
    <row r="171" spans="1:3">
      <c r="A171" t="s">
        <v>43</v>
      </c>
      <c r="B171" t="s">
        <v>33</v>
      </c>
      <c r="C171" t="s">
        <v>5</v>
      </c>
    </row>
    <row r="172" spans="1:3">
      <c r="A172" t="s">
        <v>43</v>
      </c>
      <c r="B172" t="s">
        <v>9</v>
      </c>
      <c r="C172" t="s">
        <v>5</v>
      </c>
    </row>
    <row r="173" spans="1:3">
      <c r="A173" t="s">
        <v>54</v>
      </c>
      <c r="B173" t="s">
        <v>12</v>
      </c>
      <c r="C173" t="s">
        <v>5</v>
      </c>
    </row>
    <row r="174" spans="1:3">
      <c r="A174" t="s">
        <v>54</v>
      </c>
      <c r="B174" t="s">
        <v>13</v>
      </c>
      <c r="C174" t="s">
        <v>5</v>
      </c>
    </row>
    <row r="175" spans="1:3">
      <c r="A175" t="s">
        <v>54</v>
      </c>
      <c r="B175" t="s">
        <v>7</v>
      </c>
      <c r="C175" t="s">
        <v>5</v>
      </c>
    </row>
    <row r="176" spans="1:3">
      <c r="A176" t="s">
        <v>54</v>
      </c>
      <c r="B176" t="s">
        <v>14</v>
      </c>
      <c r="C176" t="s">
        <v>5</v>
      </c>
    </row>
    <row r="177" spans="1:3">
      <c r="A177" t="s">
        <v>54</v>
      </c>
      <c r="B177" t="s">
        <v>15</v>
      </c>
      <c r="C177" t="s">
        <v>5</v>
      </c>
    </row>
    <row r="178" spans="1:3">
      <c r="A178" t="s">
        <v>54</v>
      </c>
      <c r="B178" t="s">
        <v>16</v>
      </c>
      <c r="C178" t="s">
        <v>5</v>
      </c>
    </row>
    <row r="179" spans="1:3">
      <c r="A179" t="s">
        <v>54</v>
      </c>
      <c r="B179" t="s">
        <v>17</v>
      </c>
      <c r="C179" t="s">
        <v>5</v>
      </c>
    </row>
    <row r="180" spans="1:3">
      <c r="A180" t="s">
        <v>54</v>
      </c>
      <c r="B180" t="s">
        <v>18</v>
      </c>
      <c r="C180" t="s">
        <v>5</v>
      </c>
    </row>
    <row r="181" spans="1:3">
      <c r="A181" t="s">
        <v>54</v>
      </c>
      <c r="B181" t="s">
        <v>19</v>
      </c>
      <c r="C181" t="s">
        <v>5</v>
      </c>
    </row>
    <row r="182" spans="1:3">
      <c r="A182" t="s">
        <v>54</v>
      </c>
      <c r="B182" t="s">
        <v>20</v>
      </c>
      <c r="C182" t="s">
        <v>5</v>
      </c>
    </row>
    <row r="183" spans="1:3">
      <c r="A183" t="s">
        <v>54</v>
      </c>
      <c r="B183" t="s">
        <v>8</v>
      </c>
      <c r="C183" t="s">
        <v>5</v>
      </c>
    </row>
    <row r="184" spans="1:3">
      <c r="A184" t="s">
        <v>54</v>
      </c>
      <c r="B184" t="s">
        <v>9</v>
      </c>
      <c r="C184" t="s">
        <v>5</v>
      </c>
    </row>
    <row r="185" spans="1:3">
      <c r="A185" t="s">
        <v>55</v>
      </c>
      <c r="B185" t="s">
        <v>12</v>
      </c>
      <c r="C185" t="s">
        <v>5</v>
      </c>
    </row>
    <row r="186" spans="1:3">
      <c r="A186" t="s">
        <v>55</v>
      </c>
      <c r="B186" t="s">
        <v>13</v>
      </c>
      <c r="C186" t="s">
        <v>5</v>
      </c>
    </row>
    <row r="187" spans="1:3">
      <c r="A187" t="s">
        <v>55</v>
      </c>
      <c r="B187" t="s">
        <v>7</v>
      </c>
      <c r="C187" t="s">
        <v>5</v>
      </c>
    </row>
    <row r="188" spans="1:3">
      <c r="A188" t="s">
        <v>55</v>
      </c>
      <c r="B188" t="s">
        <v>4</v>
      </c>
      <c r="C188" t="s">
        <v>5</v>
      </c>
    </row>
    <row r="189" spans="1:3">
      <c r="A189" t="s">
        <v>55</v>
      </c>
      <c r="B189" t="s">
        <v>14</v>
      </c>
      <c r="C189" t="s">
        <v>5</v>
      </c>
    </row>
    <row r="190" spans="1:3">
      <c r="A190" t="s">
        <v>55</v>
      </c>
      <c r="B190" t="s">
        <v>15</v>
      </c>
      <c r="C190" t="s">
        <v>5</v>
      </c>
    </row>
    <row r="191" spans="1:3">
      <c r="A191" t="s">
        <v>55</v>
      </c>
      <c r="B191" t="s">
        <v>16</v>
      </c>
      <c r="C191" t="s">
        <v>5</v>
      </c>
    </row>
    <row r="192" spans="1:3">
      <c r="A192" t="s">
        <v>55</v>
      </c>
      <c r="B192" t="s">
        <v>17</v>
      </c>
      <c r="C192" t="s">
        <v>5</v>
      </c>
    </row>
    <row r="193" spans="1:3">
      <c r="A193" t="s">
        <v>55</v>
      </c>
      <c r="B193" t="s">
        <v>30</v>
      </c>
      <c r="C193" t="s">
        <v>5</v>
      </c>
    </row>
    <row r="194" spans="1:3">
      <c r="A194" t="s">
        <v>55</v>
      </c>
      <c r="B194" t="s">
        <v>18</v>
      </c>
      <c r="C194" t="s">
        <v>5</v>
      </c>
    </row>
    <row r="195" spans="1:3">
      <c r="A195" t="s">
        <v>55</v>
      </c>
      <c r="B195" t="s">
        <v>19</v>
      </c>
      <c r="C195" t="s">
        <v>5</v>
      </c>
    </row>
    <row r="196" spans="1:3">
      <c r="A196" t="s">
        <v>55</v>
      </c>
      <c r="B196" t="s">
        <v>32</v>
      </c>
      <c r="C196" t="s">
        <v>5</v>
      </c>
    </row>
    <row r="197" spans="1:3">
      <c r="A197" t="s">
        <v>55</v>
      </c>
      <c r="B197" t="s">
        <v>20</v>
      </c>
      <c r="C197" t="s">
        <v>5</v>
      </c>
    </row>
    <row r="198" spans="1:3">
      <c r="A198" t="s">
        <v>56</v>
      </c>
      <c r="B198" t="s">
        <v>12</v>
      </c>
      <c r="C198" t="s">
        <v>5</v>
      </c>
    </row>
    <row r="199" spans="1:3">
      <c r="A199" t="s">
        <v>56</v>
      </c>
      <c r="B199" t="s">
        <v>13</v>
      </c>
      <c r="C199" t="s">
        <v>5</v>
      </c>
    </row>
    <row r="200" spans="1:3">
      <c r="A200" t="s">
        <v>56</v>
      </c>
      <c r="B200" t="s">
        <v>7</v>
      </c>
      <c r="C200" t="s">
        <v>5</v>
      </c>
    </row>
    <row r="201" spans="1:3">
      <c r="A201" t="s">
        <v>56</v>
      </c>
      <c r="B201" t="s">
        <v>14</v>
      </c>
      <c r="C201" t="s">
        <v>5</v>
      </c>
    </row>
    <row r="202" spans="1:3">
      <c r="A202" t="s">
        <v>56</v>
      </c>
      <c r="B202" t="s">
        <v>15</v>
      </c>
      <c r="C202" t="s">
        <v>5</v>
      </c>
    </row>
    <row r="203" spans="1:3">
      <c r="A203" t="s">
        <v>56</v>
      </c>
      <c r="B203" t="s">
        <v>16</v>
      </c>
      <c r="C203" t="s">
        <v>5</v>
      </c>
    </row>
    <row r="204" spans="1:3">
      <c r="A204" t="s">
        <v>56</v>
      </c>
      <c r="B204" t="s">
        <v>17</v>
      </c>
      <c r="C204" t="s">
        <v>5</v>
      </c>
    </row>
    <row r="205" spans="1:3">
      <c r="A205" t="s">
        <v>56</v>
      </c>
      <c r="B205" t="s">
        <v>18</v>
      </c>
      <c r="C205" t="s">
        <v>5</v>
      </c>
    </row>
    <row r="206" spans="1:3">
      <c r="A206" t="s">
        <v>56</v>
      </c>
      <c r="B206" t="s">
        <v>19</v>
      </c>
      <c r="C206" t="s">
        <v>5</v>
      </c>
    </row>
    <row r="207" spans="1:3">
      <c r="A207" t="s">
        <v>56</v>
      </c>
      <c r="B207" t="s">
        <v>20</v>
      </c>
      <c r="C207" t="s">
        <v>5</v>
      </c>
    </row>
    <row r="208" spans="1:3">
      <c r="A208" t="s">
        <v>57</v>
      </c>
      <c r="B208" t="s">
        <v>12</v>
      </c>
      <c r="C208" t="s">
        <v>5</v>
      </c>
    </row>
    <row r="209" spans="1:3">
      <c r="A209" t="s">
        <v>57</v>
      </c>
      <c r="B209" t="s">
        <v>13</v>
      </c>
      <c r="C209" t="s">
        <v>5</v>
      </c>
    </row>
    <row r="210" spans="1:3">
      <c r="A210" t="s">
        <v>57</v>
      </c>
      <c r="B210" t="s">
        <v>7</v>
      </c>
      <c r="C210" t="s">
        <v>5</v>
      </c>
    </row>
    <row r="211" spans="1:3">
      <c r="A211" t="s">
        <v>57</v>
      </c>
      <c r="B211" t="s">
        <v>14</v>
      </c>
      <c r="C211" t="s">
        <v>5</v>
      </c>
    </row>
    <row r="212" spans="1:3">
      <c r="A212" t="s">
        <v>57</v>
      </c>
      <c r="B212" t="s">
        <v>15</v>
      </c>
      <c r="C212" t="s">
        <v>5</v>
      </c>
    </row>
    <row r="213" spans="1:3">
      <c r="A213" t="s">
        <v>57</v>
      </c>
      <c r="B213" t="s">
        <v>16</v>
      </c>
      <c r="C213" t="s">
        <v>5</v>
      </c>
    </row>
    <row r="214" spans="1:3">
      <c r="A214" t="s">
        <v>57</v>
      </c>
      <c r="B214" t="s">
        <v>17</v>
      </c>
      <c r="C214" t="s">
        <v>5</v>
      </c>
    </row>
    <row r="215" spans="1:3">
      <c r="A215" t="s">
        <v>57</v>
      </c>
      <c r="B215" t="s">
        <v>18</v>
      </c>
      <c r="C215" t="s">
        <v>5</v>
      </c>
    </row>
    <row r="216" spans="1:3">
      <c r="A216" t="s">
        <v>57</v>
      </c>
      <c r="B216" t="s">
        <v>19</v>
      </c>
      <c r="C216" t="s">
        <v>5</v>
      </c>
    </row>
    <row r="217" spans="1:3">
      <c r="A217" t="s">
        <v>57</v>
      </c>
      <c r="B217" t="s">
        <v>20</v>
      </c>
      <c r="C217" t="s">
        <v>5</v>
      </c>
    </row>
    <row r="218" spans="1:3">
      <c r="A218" t="s">
        <v>58</v>
      </c>
      <c r="B218" t="s">
        <v>12</v>
      </c>
      <c r="C218" t="s">
        <v>5</v>
      </c>
    </row>
    <row r="219" spans="1:3">
      <c r="A219" t="s">
        <v>58</v>
      </c>
      <c r="B219" t="s">
        <v>13</v>
      </c>
      <c r="C219" t="s">
        <v>5</v>
      </c>
    </row>
    <row r="220" spans="1:3">
      <c r="A220" t="s">
        <v>58</v>
      </c>
      <c r="B220" t="s">
        <v>7</v>
      </c>
      <c r="C220" t="s">
        <v>5</v>
      </c>
    </row>
    <row r="221" spans="1:3">
      <c r="A221" t="s">
        <v>58</v>
      </c>
      <c r="B221" t="s">
        <v>14</v>
      </c>
      <c r="C221" t="s">
        <v>5</v>
      </c>
    </row>
    <row r="222" spans="1:3">
      <c r="A222" t="s">
        <v>58</v>
      </c>
      <c r="B222" t="s">
        <v>15</v>
      </c>
      <c r="C222" t="s">
        <v>5</v>
      </c>
    </row>
    <row r="223" spans="1:3">
      <c r="A223" t="s">
        <v>58</v>
      </c>
      <c r="B223" t="s">
        <v>16</v>
      </c>
      <c r="C223" t="s">
        <v>5</v>
      </c>
    </row>
    <row r="224" spans="1:3">
      <c r="A224" t="s">
        <v>58</v>
      </c>
      <c r="B224" t="s">
        <v>17</v>
      </c>
      <c r="C224" t="s">
        <v>5</v>
      </c>
    </row>
    <row r="225" spans="1:3">
      <c r="A225" t="s">
        <v>58</v>
      </c>
      <c r="B225" t="s">
        <v>18</v>
      </c>
      <c r="C225" t="s">
        <v>5</v>
      </c>
    </row>
    <row r="226" spans="1:3">
      <c r="A226" t="s">
        <v>58</v>
      </c>
      <c r="B226" t="s">
        <v>19</v>
      </c>
      <c r="C226" t="s">
        <v>5</v>
      </c>
    </row>
    <row r="227" spans="1:3">
      <c r="A227" t="s">
        <v>58</v>
      </c>
      <c r="B227" t="s">
        <v>20</v>
      </c>
      <c r="C227" t="s">
        <v>5</v>
      </c>
    </row>
    <row r="228" spans="1:3">
      <c r="A228" t="s">
        <v>59</v>
      </c>
      <c r="B228" t="s">
        <v>12</v>
      </c>
      <c r="C228" t="s">
        <v>5</v>
      </c>
    </row>
    <row r="229" spans="1:3">
      <c r="A229" t="s">
        <v>59</v>
      </c>
      <c r="B229" t="s">
        <v>13</v>
      </c>
      <c r="C229" t="s">
        <v>5</v>
      </c>
    </row>
    <row r="230" spans="1:3">
      <c r="A230" t="s">
        <v>59</v>
      </c>
      <c r="B230" t="s">
        <v>7</v>
      </c>
      <c r="C230" t="s">
        <v>5</v>
      </c>
    </row>
    <row r="231" spans="1:3">
      <c r="A231" t="s">
        <v>59</v>
      </c>
      <c r="B231" t="s">
        <v>14</v>
      </c>
      <c r="C231" t="s">
        <v>5</v>
      </c>
    </row>
    <row r="232" spans="1:3">
      <c r="A232" t="s">
        <v>59</v>
      </c>
      <c r="B232" t="s">
        <v>15</v>
      </c>
      <c r="C232" t="s">
        <v>5</v>
      </c>
    </row>
    <row r="233" spans="1:3">
      <c r="A233" t="s">
        <v>59</v>
      </c>
      <c r="B233" t="s">
        <v>16</v>
      </c>
      <c r="C233" t="s">
        <v>5</v>
      </c>
    </row>
    <row r="234" spans="1:3">
      <c r="A234" t="s">
        <v>59</v>
      </c>
      <c r="B234" t="s">
        <v>17</v>
      </c>
      <c r="C234" t="s">
        <v>5</v>
      </c>
    </row>
    <row r="235" spans="1:3">
      <c r="A235" t="s">
        <v>59</v>
      </c>
      <c r="B235" t="s">
        <v>18</v>
      </c>
      <c r="C235" t="s">
        <v>5</v>
      </c>
    </row>
    <row r="236" spans="1:3">
      <c r="A236" t="s">
        <v>59</v>
      </c>
      <c r="B236" t="s">
        <v>19</v>
      </c>
      <c r="C236" t="s">
        <v>5</v>
      </c>
    </row>
    <row r="237" spans="1:3">
      <c r="A237" t="s">
        <v>59</v>
      </c>
      <c r="B237" t="s">
        <v>20</v>
      </c>
      <c r="C237" t="s">
        <v>5</v>
      </c>
    </row>
    <row r="238" spans="1:3">
      <c r="A238" t="s">
        <v>60</v>
      </c>
      <c r="B238" t="s">
        <v>7</v>
      </c>
      <c r="C238" t="s">
        <v>5</v>
      </c>
    </row>
    <row r="239" spans="1:3">
      <c r="A239" t="s">
        <v>60</v>
      </c>
      <c r="B239" t="s">
        <v>61</v>
      </c>
      <c r="C239" t="s">
        <v>5</v>
      </c>
    </row>
    <row r="240" spans="1:3">
      <c r="A240" t="s">
        <v>60</v>
      </c>
      <c r="B240" t="s">
        <v>4</v>
      </c>
      <c r="C240" t="s">
        <v>5</v>
      </c>
    </row>
    <row r="241" spans="1:3">
      <c r="A241" t="s">
        <v>60</v>
      </c>
      <c r="B241" t="s">
        <v>17</v>
      </c>
      <c r="C241" t="s">
        <v>5</v>
      </c>
    </row>
    <row r="242" spans="1:3">
      <c r="A242" t="s">
        <v>60</v>
      </c>
      <c r="B242" t="s">
        <v>30</v>
      </c>
      <c r="C242" t="s">
        <v>5</v>
      </c>
    </row>
    <row r="243" spans="1:3">
      <c r="A243" t="s">
        <v>60</v>
      </c>
      <c r="B243" t="s">
        <v>32</v>
      </c>
      <c r="C243" t="s">
        <v>5</v>
      </c>
    </row>
    <row r="244" spans="1:3">
      <c r="A244" t="s">
        <v>62</v>
      </c>
      <c r="B244" t="s">
        <v>12</v>
      </c>
      <c r="C244" t="s">
        <v>5</v>
      </c>
    </row>
    <row r="245" spans="1:3">
      <c r="A245" t="s">
        <v>62</v>
      </c>
      <c r="B245" t="s">
        <v>25</v>
      </c>
      <c r="C245" t="s">
        <v>5</v>
      </c>
    </row>
    <row r="246" spans="1:3">
      <c r="A246" t="s">
        <v>62</v>
      </c>
      <c r="B246" t="s">
        <v>13</v>
      </c>
      <c r="C246" t="s">
        <v>5</v>
      </c>
    </row>
    <row r="247" spans="1:3">
      <c r="A247" t="s">
        <v>62</v>
      </c>
      <c r="B247" t="s">
        <v>26</v>
      </c>
      <c r="C247" t="s">
        <v>5</v>
      </c>
    </row>
    <row r="248" spans="1:3">
      <c r="A248" t="s">
        <v>62</v>
      </c>
      <c r="B248" t="s">
        <v>7</v>
      </c>
      <c r="C248" t="s">
        <v>5</v>
      </c>
    </row>
    <row r="249" spans="1:3">
      <c r="A249" t="s">
        <v>62</v>
      </c>
      <c r="B249" t="s">
        <v>4</v>
      </c>
      <c r="C249" t="s">
        <v>5</v>
      </c>
    </row>
    <row r="250" spans="1:3">
      <c r="A250" t="s">
        <v>62</v>
      </c>
      <c r="B250" t="s">
        <v>14</v>
      </c>
      <c r="C250" t="s">
        <v>5</v>
      </c>
    </row>
    <row r="251" spans="1:3">
      <c r="A251" t="s">
        <v>62</v>
      </c>
      <c r="B251" t="s">
        <v>27</v>
      </c>
      <c r="C251" t="s">
        <v>5</v>
      </c>
    </row>
    <row r="252" spans="1:3">
      <c r="A252" t="s">
        <v>62</v>
      </c>
      <c r="B252" t="s">
        <v>15</v>
      </c>
      <c r="C252" t="s">
        <v>5</v>
      </c>
    </row>
    <row r="253" spans="1:3">
      <c r="A253" t="s">
        <v>62</v>
      </c>
      <c r="B253" t="s">
        <v>28</v>
      </c>
      <c r="C253" t="s">
        <v>5</v>
      </c>
    </row>
    <row r="254" spans="1:3">
      <c r="A254" t="s">
        <v>62</v>
      </c>
      <c r="B254" t="s">
        <v>16</v>
      </c>
      <c r="C254" t="s">
        <v>5</v>
      </c>
    </row>
    <row r="255" spans="1:3">
      <c r="A255" t="s">
        <v>62</v>
      </c>
      <c r="B255" t="s">
        <v>29</v>
      </c>
      <c r="C255" t="s">
        <v>5</v>
      </c>
    </row>
    <row r="256" spans="1:3">
      <c r="A256" t="s">
        <v>62</v>
      </c>
      <c r="B256" t="s">
        <v>17</v>
      </c>
      <c r="C256" t="s">
        <v>5</v>
      </c>
    </row>
    <row r="257" spans="1:3">
      <c r="A257" t="s">
        <v>62</v>
      </c>
      <c r="B257" t="s">
        <v>30</v>
      </c>
      <c r="C257" t="s">
        <v>5</v>
      </c>
    </row>
    <row r="258" spans="1:3">
      <c r="A258" t="s">
        <v>62</v>
      </c>
      <c r="B258" t="s">
        <v>18</v>
      </c>
      <c r="C258" t="s">
        <v>5</v>
      </c>
    </row>
    <row r="259" spans="1:3">
      <c r="A259" t="s">
        <v>62</v>
      </c>
      <c r="B259" t="s">
        <v>31</v>
      </c>
      <c r="C259" t="s">
        <v>5</v>
      </c>
    </row>
    <row r="260" spans="1:3">
      <c r="A260" t="s">
        <v>62</v>
      </c>
      <c r="B260" t="s">
        <v>19</v>
      </c>
      <c r="C260" t="s">
        <v>5</v>
      </c>
    </row>
    <row r="261" spans="1:3">
      <c r="A261" t="s">
        <v>62</v>
      </c>
      <c r="B261" t="s">
        <v>32</v>
      </c>
      <c r="C261" t="s">
        <v>5</v>
      </c>
    </row>
    <row r="262" spans="1:3">
      <c r="A262" t="s">
        <v>62</v>
      </c>
      <c r="B262" t="s">
        <v>20</v>
      </c>
      <c r="C262" t="s">
        <v>5</v>
      </c>
    </row>
    <row r="263" spans="1:3">
      <c r="A263" t="s">
        <v>62</v>
      </c>
      <c r="B263" t="s">
        <v>33</v>
      </c>
      <c r="C263" t="s">
        <v>5</v>
      </c>
    </row>
    <row r="264" spans="1:3">
      <c r="A264" t="s">
        <v>62</v>
      </c>
      <c r="B264" t="s">
        <v>9</v>
      </c>
      <c r="C264" t="s">
        <v>5</v>
      </c>
    </row>
    <row r="265" spans="1:3">
      <c r="A265" t="s">
        <v>63</v>
      </c>
      <c r="B265" t="s">
        <v>4</v>
      </c>
      <c r="C265" t="s">
        <v>5</v>
      </c>
    </row>
    <row r="266" spans="1:3">
      <c r="A266" t="s">
        <v>63</v>
      </c>
      <c r="B266" t="s">
        <v>30</v>
      </c>
      <c r="C266" t="s">
        <v>5</v>
      </c>
    </row>
    <row r="267" spans="1:3">
      <c r="A267" t="s">
        <v>63</v>
      </c>
      <c r="B267" t="s">
        <v>32</v>
      </c>
      <c r="C267" t="s">
        <v>5</v>
      </c>
    </row>
    <row r="268" spans="1:3">
      <c r="A268" t="s">
        <v>64</v>
      </c>
      <c r="B268" t="s">
        <v>12</v>
      </c>
      <c r="C268" t="s">
        <v>5</v>
      </c>
    </row>
    <row r="269" spans="1:3">
      <c r="A269" t="s">
        <v>64</v>
      </c>
      <c r="B269" t="s">
        <v>13</v>
      </c>
      <c r="C269" t="s">
        <v>5</v>
      </c>
    </row>
    <row r="270" spans="1:3">
      <c r="A270" t="s">
        <v>64</v>
      </c>
      <c r="B270" t="s">
        <v>7</v>
      </c>
      <c r="C270" t="s">
        <v>5</v>
      </c>
    </row>
    <row r="271" spans="1:3">
      <c r="A271" t="s">
        <v>64</v>
      </c>
      <c r="B271" t="s">
        <v>14</v>
      </c>
      <c r="C271" t="s">
        <v>5</v>
      </c>
    </row>
    <row r="272" spans="1:3">
      <c r="A272" t="s">
        <v>64</v>
      </c>
      <c r="B272" t="s">
        <v>15</v>
      </c>
      <c r="C272" t="s">
        <v>5</v>
      </c>
    </row>
    <row r="273" spans="1:3">
      <c r="A273" t="s">
        <v>64</v>
      </c>
      <c r="B273" t="s">
        <v>16</v>
      </c>
      <c r="C273" t="s">
        <v>5</v>
      </c>
    </row>
    <row r="274" spans="1:3">
      <c r="A274" t="s">
        <v>64</v>
      </c>
      <c r="B274" t="s">
        <v>17</v>
      </c>
      <c r="C274" t="s">
        <v>5</v>
      </c>
    </row>
    <row r="275" spans="1:3">
      <c r="A275" t="s">
        <v>64</v>
      </c>
      <c r="B275" t="s">
        <v>18</v>
      </c>
      <c r="C275" t="s">
        <v>5</v>
      </c>
    </row>
    <row r="276" spans="1:3">
      <c r="A276" t="s">
        <v>64</v>
      </c>
      <c r="B276" t="s">
        <v>19</v>
      </c>
      <c r="C276" t="s">
        <v>5</v>
      </c>
    </row>
    <row r="277" spans="1:3">
      <c r="A277" t="s">
        <v>64</v>
      </c>
      <c r="B277" t="s">
        <v>20</v>
      </c>
      <c r="C277" t="s">
        <v>5</v>
      </c>
    </row>
    <row r="278" spans="1:3">
      <c r="A278" t="s">
        <v>65</v>
      </c>
      <c r="B278" t="s">
        <v>12</v>
      </c>
      <c r="C278" t="s">
        <v>5</v>
      </c>
    </row>
    <row r="279" spans="1:3">
      <c r="A279" t="s">
        <v>65</v>
      </c>
      <c r="B279" t="s">
        <v>13</v>
      </c>
      <c r="C279" t="s">
        <v>5</v>
      </c>
    </row>
    <row r="280" spans="1:3">
      <c r="A280" t="s">
        <v>65</v>
      </c>
      <c r="B280" t="s">
        <v>7</v>
      </c>
      <c r="C280" t="s">
        <v>5</v>
      </c>
    </row>
    <row r="281" spans="1:3">
      <c r="A281" t="s">
        <v>65</v>
      </c>
      <c r="B281" t="s">
        <v>14</v>
      </c>
      <c r="C281" t="s">
        <v>5</v>
      </c>
    </row>
    <row r="282" spans="1:3">
      <c r="A282" t="s">
        <v>65</v>
      </c>
      <c r="B282" t="s">
        <v>15</v>
      </c>
      <c r="C282" t="s">
        <v>5</v>
      </c>
    </row>
    <row r="283" spans="1:3">
      <c r="A283" t="s">
        <v>65</v>
      </c>
      <c r="B283" t="s">
        <v>16</v>
      </c>
      <c r="C283" t="s">
        <v>5</v>
      </c>
    </row>
    <row r="284" spans="1:3">
      <c r="A284" t="s">
        <v>65</v>
      </c>
      <c r="B284" t="s">
        <v>17</v>
      </c>
      <c r="C284" t="s">
        <v>5</v>
      </c>
    </row>
    <row r="285" spans="1:3">
      <c r="A285" t="s">
        <v>65</v>
      </c>
      <c r="B285" t="s">
        <v>18</v>
      </c>
      <c r="C285" t="s">
        <v>5</v>
      </c>
    </row>
    <row r="286" spans="1:3">
      <c r="A286" t="s">
        <v>65</v>
      </c>
      <c r="B286" t="s">
        <v>19</v>
      </c>
      <c r="C286" t="s">
        <v>5</v>
      </c>
    </row>
    <row r="287" spans="1:3">
      <c r="A287" t="s">
        <v>65</v>
      </c>
      <c r="B287" t="s">
        <v>20</v>
      </c>
      <c r="C287" t="s">
        <v>5</v>
      </c>
    </row>
    <row r="288" spans="1:3">
      <c r="A288" t="s">
        <v>66</v>
      </c>
      <c r="B288" t="s">
        <v>12</v>
      </c>
      <c r="C288" t="s">
        <v>5</v>
      </c>
    </row>
    <row r="289" spans="1:3">
      <c r="A289" t="s">
        <v>66</v>
      </c>
      <c r="B289" t="s">
        <v>13</v>
      </c>
      <c r="C289" t="s">
        <v>5</v>
      </c>
    </row>
    <row r="290" spans="1:3">
      <c r="A290" t="s">
        <v>66</v>
      </c>
      <c r="B290" t="s">
        <v>7</v>
      </c>
      <c r="C290" t="s">
        <v>5</v>
      </c>
    </row>
    <row r="291" spans="1:3">
      <c r="A291" t="s">
        <v>66</v>
      </c>
      <c r="B291" t="s">
        <v>14</v>
      </c>
      <c r="C291" t="s">
        <v>5</v>
      </c>
    </row>
    <row r="292" spans="1:3">
      <c r="A292" t="s">
        <v>66</v>
      </c>
      <c r="B292" t="s">
        <v>15</v>
      </c>
      <c r="C292" t="s">
        <v>5</v>
      </c>
    </row>
    <row r="293" spans="1:3">
      <c r="A293" t="s">
        <v>66</v>
      </c>
      <c r="B293" t="s">
        <v>16</v>
      </c>
      <c r="C293" t="s">
        <v>5</v>
      </c>
    </row>
    <row r="294" spans="1:3">
      <c r="A294" t="s">
        <v>66</v>
      </c>
      <c r="B294" t="s">
        <v>17</v>
      </c>
      <c r="C294" t="s">
        <v>5</v>
      </c>
    </row>
    <row r="295" spans="1:3">
      <c r="A295" t="s">
        <v>66</v>
      </c>
      <c r="B295" t="s">
        <v>18</v>
      </c>
      <c r="C295" t="s">
        <v>5</v>
      </c>
    </row>
    <row r="296" spans="1:3">
      <c r="A296" t="s">
        <v>66</v>
      </c>
      <c r="B296" t="s">
        <v>19</v>
      </c>
      <c r="C296" t="s">
        <v>5</v>
      </c>
    </row>
    <row r="297" spans="1:3">
      <c r="A297" t="s">
        <v>66</v>
      </c>
      <c r="B297" t="s">
        <v>20</v>
      </c>
      <c r="C297" t="s">
        <v>5</v>
      </c>
    </row>
    <row r="298" spans="1:3">
      <c r="A298" t="s">
        <v>67</v>
      </c>
      <c r="B298" t="s">
        <v>12</v>
      </c>
      <c r="C298" t="s">
        <v>5</v>
      </c>
    </row>
    <row r="299" spans="1:3">
      <c r="A299" t="s">
        <v>67</v>
      </c>
      <c r="B299" t="s">
        <v>13</v>
      </c>
      <c r="C299" t="s">
        <v>5</v>
      </c>
    </row>
    <row r="300" spans="1:3">
      <c r="A300" t="s">
        <v>67</v>
      </c>
      <c r="B300" t="s">
        <v>7</v>
      </c>
      <c r="C300" t="s">
        <v>5</v>
      </c>
    </row>
    <row r="301" spans="1:3">
      <c r="A301" t="s">
        <v>67</v>
      </c>
      <c r="B301" t="s">
        <v>14</v>
      </c>
      <c r="C301" t="s">
        <v>5</v>
      </c>
    </row>
    <row r="302" spans="1:3">
      <c r="A302" t="s">
        <v>67</v>
      </c>
      <c r="B302" t="s">
        <v>15</v>
      </c>
      <c r="C302" t="s">
        <v>5</v>
      </c>
    </row>
    <row r="303" spans="1:3">
      <c r="A303" t="s">
        <v>67</v>
      </c>
      <c r="B303" t="s">
        <v>16</v>
      </c>
      <c r="C303" t="s">
        <v>5</v>
      </c>
    </row>
    <row r="304" spans="1:3">
      <c r="A304" t="s">
        <v>67</v>
      </c>
      <c r="B304" t="s">
        <v>17</v>
      </c>
      <c r="C304" t="s">
        <v>5</v>
      </c>
    </row>
    <row r="305" spans="1:3">
      <c r="A305" t="s">
        <v>67</v>
      </c>
      <c r="B305" t="s">
        <v>18</v>
      </c>
      <c r="C305" t="s">
        <v>5</v>
      </c>
    </row>
    <row r="306" spans="1:3">
      <c r="A306" t="s">
        <v>67</v>
      </c>
      <c r="B306" t="s">
        <v>19</v>
      </c>
      <c r="C306" t="s">
        <v>5</v>
      </c>
    </row>
    <row r="307" spans="1:3">
      <c r="A307" t="s">
        <v>67</v>
      </c>
      <c r="B307" t="s">
        <v>20</v>
      </c>
      <c r="C307" t="s">
        <v>5</v>
      </c>
    </row>
    <row r="308" spans="1:3">
      <c r="A308" t="s">
        <v>68</v>
      </c>
      <c r="B308" t="s">
        <v>12</v>
      </c>
      <c r="C308" t="s">
        <v>5</v>
      </c>
    </row>
    <row r="309" spans="1:3">
      <c r="A309" t="s">
        <v>68</v>
      </c>
      <c r="B309" t="s">
        <v>13</v>
      </c>
      <c r="C309" t="s">
        <v>5</v>
      </c>
    </row>
    <row r="310" spans="1:3">
      <c r="A310" t="s">
        <v>68</v>
      </c>
      <c r="B310" t="s">
        <v>7</v>
      </c>
      <c r="C310" t="s">
        <v>5</v>
      </c>
    </row>
    <row r="311" spans="1:3">
      <c r="A311" t="s">
        <v>68</v>
      </c>
      <c r="B311" t="s">
        <v>14</v>
      </c>
      <c r="C311" t="s">
        <v>5</v>
      </c>
    </row>
    <row r="312" spans="1:3">
      <c r="A312" t="s">
        <v>68</v>
      </c>
      <c r="B312" t="s">
        <v>15</v>
      </c>
      <c r="C312" t="s">
        <v>5</v>
      </c>
    </row>
    <row r="313" spans="1:3">
      <c r="A313" t="s">
        <v>68</v>
      </c>
      <c r="B313" t="s">
        <v>16</v>
      </c>
      <c r="C313" t="s">
        <v>5</v>
      </c>
    </row>
    <row r="314" spans="1:3">
      <c r="A314" t="s">
        <v>68</v>
      </c>
      <c r="B314" t="s">
        <v>17</v>
      </c>
      <c r="C314" t="s">
        <v>5</v>
      </c>
    </row>
    <row r="315" spans="1:3">
      <c r="A315" t="s">
        <v>68</v>
      </c>
      <c r="B315" t="s">
        <v>18</v>
      </c>
      <c r="C315" t="s">
        <v>5</v>
      </c>
    </row>
    <row r="316" spans="1:3">
      <c r="A316" t="s">
        <v>68</v>
      </c>
      <c r="B316" t="s">
        <v>19</v>
      </c>
      <c r="C316" t="s">
        <v>5</v>
      </c>
    </row>
    <row r="317" spans="1:3">
      <c r="A317" t="s">
        <v>68</v>
      </c>
      <c r="B317" t="s">
        <v>20</v>
      </c>
      <c r="C317" t="s">
        <v>5</v>
      </c>
    </row>
    <row r="318" spans="1:3">
      <c r="A318" t="s">
        <v>69</v>
      </c>
      <c r="B318" t="s">
        <v>12</v>
      </c>
      <c r="C318" t="s">
        <v>5</v>
      </c>
    </row>
    <row r="319" spans="1:3">
      <c r="A319" t="s">
        <v>69</v>
      </c>
      <c r="B319" t="s">
        <v>13</v>
      </c>
      <c r="C319" t="s">
        <v>5</v>
      </c>
    </row>
    <row r="320" spans="1:3">
      <c r="A320" t="s">
        <v>69</v>
      </c>
      <c r="B320" t="s">
        <v>7</v>
      </c>
      <c r="C320" t="s">
        <v>5</v>
      </c>
    </row>
    <row r="321" spans="1:3">
      <c r="A321" t="s">
        <v>69</v>
      </c>
      <c r="B321" t="s">
        <v>14</v>
      </c>
      <c r="C321" t="s">
        <v>5</v>
      </c>
    </row>
    <row r="322" spans="1:3">
      <c r="A322" t="s">
        <v>69</v>
      </c>
      <c r="B322" t="s">
        <v>15</v>
      </c>
      <c r="C322" t="s">
        <v>5</v>
      </c>
    </row>
    <row r="323" spans="1:3">
      <c r="A323" t="s">
        <v>69</v>
      </c>
      <c r="B323" t="s">
        <v>16</v>
      </c>
      <c r="C323" t="s">
        <v>5</v>
      </c>
    </row>
    <row r="324" spans="1:3">
      <c r="A324" t="s">
        <v>69</v>
      </c>
      <c r="B324" t="s">
        <v>17</v>
      </c>
      <c r="C324" t="s">
        <v>5</v>
      </c>
    </row>
    <row r="325" spans="1:3">
      <c r="A325" t="s">
        <v>69</v>
      </c>
      <c r="B325" t="s">
        <v>18</v>
      </c>
      <c r="C325" t="s">
        <v>5</v>
      </c>
    </row>
    <row r="326" spans="1:3">
      <c r="A326" t="s">
        <v>69</v>
      </c>
      <c r="B326" t="s">
        <v>19</v>
      </c>
      <c r="C326" t="s">
        <v>5</v>
      </c>
    </row>
    <row r="327" spans="1:3">
      <c r="A327" t="s">
        <v>69</v>
      </c>
      <c r="B327" t="s">
        <v>20</v>
      </c>
      <c r="C327" t="s">
        <v>5</v>
      </c>
    </row>
    <row r="328" spans="1:3">
      <c r="A328" t="s">
        <v>70</v>
      </c>
      <c r="B328" t="s">
        <v>12</v>
      </c>
      <c r="C328" t="s">
        <v>5</v>
      </c>
    </row>
    <row r="329" spans="1:3">
      <c r="A329" t="s">
        <v>70</v>
      </c>
      <c r="B329" t="s">
        <v>13</v>
      </c>
      <c r="C329" t="s">
        <v>5</v>
      </c>
    </row>
    <row r="330" spans="1:3">
      <c r="A330" t="s">
        <v>70</v>
      </c>
      <c r="B330" t="s">
        <v>7</v>
      </c>
      <c r="C330" t="s">
        <v>5</v>
      </c>
    </row>
    <row r="331" spans="1:3">
      <c r="A331" t="s">
        <v>70</v>
      </c>
      <c r="B331" t="s">
        <v>14</v>
      </c>
      <c r="C331" t="s">
        <v>5</v>
      </c>
    </row>
    <row r="332" spans="1:3">
      <c r="A332" t="s">
        <v>70</v>
      </c>
      <c r="B332" t="s">
        <v>15</v>
      </c>
      <c r="C332" t="s">
        <v>5</v>
      </c>
    </row>
    <row r="333" spans="1:3">
      <c r="A333" t="s">
        <v>70</v>
      </c>
      <c r="B333" t="s">
        <v>16</v>
      </c>
      <c r="C333" t="s">
        <v>5</v>
      </c>
    </row>
    <row r="334" spans="1:3">
      <c r="A334" t="s">
        <v>70</v>
      </c>
      <c r="B334" t="s">
        <v>17</v>
      </c>
      <c r="C334" t="s">
        <v>5</v>
      </c>
    </row>
    <row r="335" spans="1:3">
      <c r="A335" t="s">
        <v>70</v>
      </c>
      <c r="B335" t="s">
        <v>18</v>
      </c>
      <c r="C335" t="s">
        <v>5</v>
      </c>
    </row>
    <row r="336" spans="1:3">
      <c r="A336" t="s">
        <v>70</v>
      </c>
      <c r="B336" t="s">
        <v>19</v>
      </c>
      <c r="C336" t="s">
        <v>5</v>
      </c>
    </row>
    <row r="337" spans="1:3">
      <c r="A337" t="s">
        <v>70</v>
      </c>
      <c r="B337" t="s">
        <v>20</v>
      </c>
      <c r="C337" t="s">
        <v>5</v>
      </c>
    </row>
    <row r="338" spans="1:3">
      <c r="A338" t="s">
        <v>71</v>
      </c>
      <c r="B338" t="s">
        <v>12</v>
      </c>
      <c r="C338" t="s">
        <v>5</v>
      </c>
    </row>
    <row r="339" spans="1:3">
      <c r="A339" t="s">
        <v>71</v>
      </c>
      <c r="B339" t="s">
        <v>13</v>
      </c>
      <c r="C339" t="s">
        <v>5</v>
      </c>
    </row>
    <row r="340" spans="1:3">
      <c r="A340" t="s">
        <v>71</v>
      </c>
      <c r="B340" t="s">
        <v>7</v>
      </c>
      <c r="C340" t="s">
        <v>5</v>
      </c>
    </row>
    <row r="341" spans="1:3">
      <c r="A341" t="s">
        <v>71</v>
      </c>
      <c r="B341" t="s">
        <v>14</v>
      </c>
      <c r="C341" t="s">
        <v>5</v>
      </c>
    </row>
    <row r="342" spans="1:3">
      <c r="A342" t="s">
        <v>71</v>
      </c>
      <c r="B342" t="s">
        <v>15</v>
      </c>
      <c r="C342" t="s">
        <v>5</v>
      </c>
    </row>
    <row r="343" spans="1:3">
      <c r="A343" t="s">
        <v>71</v>
      </c>
      <c r="B343" t="s">
        <v>16</v>
      </c>
      <c r="C343" t="s">
        <v>5</v>
      </c>
    </row>
    <row r="344" spans="1:3">
      <c r="A344" t="s">
        <v>71</v>
      </c>
      <c r="B344" t="s">
        <v>17</v>
      </c>
      <c r="C344" t="s">
        <v>5</v>
      </c>
    </row>
    <row r="345" spans="1:3">
      <c r="A345" t="s">
        <v>71</v>
      </c>
      <c r="B345" t="s">
        <v>18</v>
      </c>
      <c r="C345" t="s">
        <v>5</v>
      </c>
    </row>
    <row r="346" spans="1:3">
      <c r="A346" t="s">
        <v>71</v>
      </c>
      <c r="B346" t="s">
        <v>19</v>
      </c>
      <c r="C346" t="s">
        <v>5</v>
      </c>
    </row>
    <row r="347" spans="1:3">
      <c r="A347" t="s">
        <v>71</v>
      </c>
      <c r="B347" t="s">
        <v>20</v>
      </c>
      <c r="C347" t="s">
        <v>5</v>
      </c>
    </row>
    <row r="348" spans="1:3">
      <c r="A348" t="s">
        <v>72</v>
      </c>
      <c r="B348" t="s">
        <v>12</v>
      </c>
      <c r="C348" t="s">
        <v>5</v>
      </c>
    </row>
    <row r="349" spans="1:3">
      <c r="A349" t="s">
        <v>72</v>
      </c>
      <c r="B349" t="s">
        <v>13</v>
      </c>
      <c r="C349" t="s">
        <v>5</v>
      </c>
    </row>
    <row r="350" spans="1:3">
      <c r="A350" t="s">
        <v>72</v>
      </c>
      <c r="B350" t="s">
        <v>7</v>
      </c>
      <c r="C350" t="s">
        <v>5</v>
      </c>
    </row>
    <row r="351" spans="1:3">
      <c r="A351" t="s">
        <v>72</v>
      </c>
      <c r="B351" t="s">
        <v>14</v>
      </c>
      <c r="C351" t="s">
        <v>5</v>
      </c>
    </row>
    <row r="352" spans="1:3">
      <c r="A352" t="s">
        <v>72</v>
      </c>
      <c r="B352" t="s">
        <v>15</v>
      </c>
      <c r="C352" t="s">
        <v>5</v>
      </c>
    </row>
    <row r="353" spans="1:3">
      <c r="A353" t="s">
        <v>72</v>
      </c>
      <c r="B353" t="s">
        <v>16</v>
      </c>
      <c r="C353" t="s">
        <v>5</v>
      </c>
    </row>
    <row r="354" spans="1:3">
      <c r="A354" t="s">
        <v>72</v>
      </c>
      <c r="B354" t="s">
        <v>17</v>
      </c>
      <c r="C354" t="s">
        <v>5</v>
      </c>
    </row>
    <row r="355" spans="1:3">
      <c r="A355" t="s">
        <v>72</v>
      </c>
      <c r="B355" t="s">
        <v>18</v>
      </c>
      <c r="C355" t="s">
        <v>5</v>
      </c>
    </row>
    <row r="356" spans="1:3">
      <c r="A356" t="s">
        <v>72</v>
      </c>
      <c r="B356" t="s">
        <v>19</v>
      </c>
      <c r="C356" t="s">
        <v>5</v>
      </c>
    </row>
    <row r="357" spans="1:3">
      <c r="A357" t="s">
        <v>72</v>
      </c>
      <c r="B357" t="s">
        <v>20</v>
      </c>
      <c r="C357" t="s">
        <v>5</v>
      </c>
    </row>
    <row r="358" spans="1:3">
      <c r="A358" t="s">
        <v>73</v>
      </c>
      <c r="B358" t="s">
        <v>12</v>
      </c>
      <c r="C358" t="s">
        <v>5</v>
      </c>
    </row>
    <row r="359" spans="1:3">
      <c r="A359" t="s">
        <v>73</v>
      </c>
      <c r="B359" t="s">
        <v>13</v>
      </c>
      <c r="C359" t="s">
        <v>5</v>
      </c>
    </row>
    <row r="360" spans="1:3">
      <c r="A360" t="s">
        <v>73</v>
      </c>
      <c r="B360" t="s">
        <v>7</v>
      </c>
      <c r="C360" t="s">
        <v>5</v>
      </c>
    </row>
    <row r="361" spans="1:3">
      <c r="A361" t="s">
        <v>73</v>
      </c>
      <c r="B361" t="s">
        <v>14</v>
      </c>
      <c r="C361" t="s">
        <v>5</v>
      </c>
    </row>
    <row r="362" spans="1:3">
      <c r="A362" t="s">
        <v>73</v>
      </c>
      <c r="B362" t="s">
        <v>15</v>
      </c>
      <c r="C362" t="s">
        <v>5</v>
      </c>
    </row>
    <row r="363" spans="1:3">
      <c r="A363" t="s">
        <v>73</v>
      </c>
      <c r="B363" t="s">
        <v>16</v>
      </c>
      <c r="C363" t="s">
        <v>5</v>
      </c>
    </row>
    <row r="364" spans="1:3">
      <c r="A364" t="s">
        <v>73</v>
      </c>
      <c r="B364" t="s">
        <v>17</v>
      </c>
      <c r="C364" t="s">
        <v>5</v>
      </c>
    </row>
    <row r="365" spans="1:3">
      <c r="A365" t="s">
        <v>73</v>
      </c>
      <c r="B365" t="s">
        <v>18</v>
      </c>
      <c r="C365" t="s">
        <v>5</v>
      </c>
    </row>
    <row r="366" spans="1:3">
      <c r="A366" t="s">
        <v>73</v>
      </c>
      <c r="B366" t="s">
        <v>19</v>
      </c>
      <c r="C366" t="s">
        <v>5</v>
      </c>
    </row>
    <row r="367" spans="1:3">
      <c r="A367" t="s">
        <v>73</v>
      </c>
      <c r="B367" t="s">
        <v>20</v>
      </c>
      <c r="C367" t="s">
        <v>5</v>
      </c>
    </row>
    <row r="368" spans="1:3">
      <c r="A368" t="s">
        <v>74</v>
      </c>
      <c r="B368" t="s">
        <v>12</v>
      </c>
      <c r="C368" t="s">
        <v>5</v>
      </c>
    </row>
    <row r="369" spans="1:3">
      <c r="A369" t="s">
        <v>74</v>
      </c>
      <c r="B369" t="s">
        <v>13</v>
      </c>
      <c r="C369" t="s">
        <v>5</v>
      </c>
    </row>
    <row r="370" spans="1:3">
      <c r="A370" t="s">
        <v>74</v>
      </c>
      <c r="B370" t="s">
        <v>7</v>
      </c>
      <c r="C370" t="s">
        <v>5</v>
      </c>
    </row>
    <row r="371" spans="1:3">
      <c r="A371" t="s">
        <v>74</v>
      </c>
      <c r="B371" t="s">
        <v>14</v>
      </c>
      <c r="C371" t="s">
        <v>5</v>
      </c>
    </row>
    <row r="372" spans="1:3">
      <c r="A372" t="s">
        <v>74</v>
      </c>
      <c r="B372" t="s">
        <v>15</v>
      </c>
      <c r="C372" t="s">
        <v>5</v>
      </c>
    </row>
    <row r="373" spans="1:3">
      <c r="A373" t="s">
        <v>74</v>
      </c>
      <c r="B373" t="s">
        <v>16</v>
      </c>
      <c r="C373" t="s">
        <v>5</v>
      </c>
    </row>
    <row r="374" spans="1:3">
      <c r="A374" t="s">
        <v>74</v>
      </c>
      <c r="B374" t="s">
        <v>17</v>
      </c>
      <c r="C374" t="s">
        <v>5</v>
      </c>
    </row>
    <row r="375" spans="1:3">
      <c r="A375" t="s">
        <v>74</v>
      </c>
      <c r="B375" t="s">
        <v>18</v>
      </c>
      <c r="C375" t="s">
        <v>5</v>
      </c>
    </row>
    <row r="376" spans="1:3">
      <c r="A376" t="s">
        <v>74</v>
      </c>
      <c r="B376" t="s">
        <v>19</v>
      </c>
      <c r="C376" t="s">
        <v>5</v>
      </c>
    </row>
    <row r="377" spans="1:3">
      <c r="A377" t="s">
        <v>74</v>
      </c>
      <c r="B377" t="s">
        <v>20</v>
      </c>
      <c r="C377" t="s">
        <v>5</v>
      </c>
    </row>
    <row r="378" spans="1:3">
      <c r="A378" t="s">
        <v>75</v>
      </c>
      <c r="B378" t="s">
        <v>12</v>
      </c>
      <c r="C378" t="s">
        <v>5</v>
      </c>
    </row>
    <row r="379" spans="1:3">
      <c r="A379" t="s">
        <v>75</v>
      </c>
      <c r="B379" t="s">
        <v>13</v>
      </c>
      <c r="C379" t="s">
        <v>5</v>
      </c>
    </row>
    <row r="380" spans="1:3">
      <c r="A380" t="s">
        <v>75</v>
      </c>
      <c r="B380" t="s">
        <v>7</v>
      </c>
      <c r="C380" t="s">
        <v>5</v>
      </c>
    </row>
    <row r="381" spans="1:3">
      <c r="A381" t="s">
        <v>75</v>
      </c>
      <c r="B381" t="s">
        <v>14</v>
      </c>
      <c r="C381" t="s">
        <v>5</v>
      </c>
    </row>
    <row r="382" spans="1:3">
      <c r="A382" t="s">
        <v>75</v>
      </c>
      <c r="B382" t="s">
        <v>15</v>
      </c>
      <c r="C382" t="s">
        <v>5</v>
      </c>
    </row>
    <row r="383" spans="1:3">
      <c r="A383" t="s">
        <v>75</v>
      </c>
      <c r="B383" t="s">
        <v>16</v>
      </c>
      <c r="C383" t="s">
        <v>5</v>
      </c>
    </row>
    <row r="384" spans="1:3">
      <c r="A384" t="s">
        <v>75</v>
      </c>
      <c r="B384" t="s">
        <v>17</v>
      </c>
      <c r="C384" t="s">
        <v>5</v>
      </c>
    </row>
    <row r="385" spans="1:3">
      <c r="A385" t="s">
        <v>75</v>
      </c>
      <c r="B385" t="s">
        <v>18</v>
      </c>
      <c r="C385" t="s">
        <v>5</v>
      </c>
    </row>
    <row r="386" spans="1:3">
      <c r="A386" t="s">
        <v>75</v>
      </c>
      <c r="B386" t="s">
        <v>19</v>
      </c>
      <c r="C386" t="s">
        <v>5</v>
      </c>
    </row>
    <row r="387" spans="1:3">
      <c r="A387" t="s">
        <v>75</v>
      </c>
      <c r="B387" t="s">
        <v>20</v>
      </c>
      <c r="C387" t="s">
        <v>5</v>
      </c>
    </row>
    <row r="388" spans="1:3">
      <c r="A388" t="s">
        <v>76</v>
      </c>
      <c r="B388" t="s">
        <v>12</v>
      </c>
      <c r="C388" t="s">
        <v>5</v>
      </c>
    </row>
    <row r="389" spans="1:3">
      <c r="A389" t="s">
        <v>76</v>
      </c>
      <c r="B389" t="s">
        <v>13</v>
      </c>
      <c r="C389" t="s">
        <v>5</v>
      </c>
    </row>
    <row r="390" spans="1:3">
      <c r="A390" t="s">
        <v>76</v>
      </c>
      <c r="B390" t="s">
        <v>7</v>
      </c>
      <c r="C390" t="s">
        <v>5</v>
      </c>
    </row>
    <row r="391" spans="1:3">
      <c r="A391" t="s">
        <v>76</v>
      </c>
      <c r="B391" t="s">
        <v>14</v>
      </c>
      <c r="C391" t="s">
        <v>5</v>
      </c>
    </row>
    <row r="392" spans="1:3">
      <c r="A392" t="s">
        <v>76</v>
      </c>
      <c r="B392" t="s">
        <v>15</v>
      </c>
      <c r="C392" t="s">
        <v>5</v>
      </c>
    </row>
    <row r="393" spans="1:3">
      <c r="A393" t="s">
        <v>76</v>
      </c>
      <c r="B393" t="s">
        <v>16</v>
      </c>
      <c r="C393" t="s">
        <v>5</v>
      </c>
    </row>
    <row r="394" spans="1:3">
      <c r="A394" t="s">
        <v>76</v>
      </c>
      <c r="B394" t="s">
        <v>17</v>
      </c>
      <c r="C394" t="s">
        <v>5</v>
      </c>
    </row>
    <row r="395" spans="1:3">
      <c r="A395" t="s">
        <v>76</v>
      </c>
      <c r="B395" t="s">
        <v>18</v>
      </c>
      <c r="C395" t="s">
        <v>5</v>
      </c>
    </row>
    <row r="396" spans="1:3">
      <c r="A396" t="s">
        <v>76</v>
      </c>
      <c r="B396" t="s">
        <v>19</v>
      </c>
      <c r="C396" t="s">
        <v>5</v>
      </c>
    </row>
    <row r="397" spans="1:3">
      <c r="A397" t="s">
        <v>76</v>
      </c>
      <c r="B397" t="s">
        <v>20</v>
      </c>
      <c r="C397" t="s">
        <v>5</v>
      </c>
    </row>
    <row r="398" spans="1:3">
      <c r="A398" t="s">
        <v>77</v>
      </c>
      <c r="B398" t="s">
        <v>4</v>
      </c>
      <c r="C398" t="s">
        <v>5</v>
      </c>
    </row>
    <row r="399" spans="1:3">
      <c r="A399" t="s">
        <v>77</v>
      </c>
      <c r="B399" t="s">
        <v>30</v>
      </c>
      <c r="C399" t="s">
        <v>5</v>
      </c>
    </row>
    <row r="400" spans="1:3">
      <c r="A400" t="s">
        <v>77</v>
      </c>
      <c r="B400" t="s">
        <v>32</v>
      </c>
      <c r="C400" t="s">
        <v>5</v>
      </c>
    </row>
    <row r="401" spans="1:3">
      <c r="A401" t="s">
        <v>78</v>
      </c>
      <c r="B401" t="s">
        <v>4</v>
      </c>
      <c r="C401" t="s">
        <v>5</v>
      </c>
    </row>
    <row r="402" spans="1:3">
      <c r="A402" t="s">
        <v>78</v>
      </c>
      <c r="B402" t="s">
        <v>30</v>
      </c>
      <c r="C402" t="s">
        <v>5</v>
      </c>
    </row>
    <row r="403" spans="1:3">
      <c r="A403" t="s">
        <v>78</v>
      </c>
      <c r="B403" t="s">
        <v>32</v>
      </c>
      <c r="C403" t="s">
        <v>5</v>
      </c>
    </row>
    <row r="404" spans="1:3">
      <c r="A404" t="s">
        <v>79</v>
      </c>
      <c r="B404" t="s">
        <v>12</v>
      </c>
      <c r="C404" t="s">
        <v>5</v>
      </c>
    </row>
    <row r="405" spans="1:3">
      <c r="A405" t="s">
        <v>79</v>
      </c>
      <c r="B405" t="s">
        <v>13</v>
      </c>
      <c r="C405" t="s">
        <v>5</v>
      </c>
    </row>
    <row r="406" spans="1:3">
      <c r="A406" t="s">
        <v>79</v>
      </c>
      <c r="B406" t="s">
        <v>7</v>
      </c>
      <c r="C406" t="s">
        <v>5</v>
      </c>
    </row>
    <row r="407" spans="1:3">
      <c r="A407" t="s">
        <v>79</v>
      </c>
      <c r="B407" t="s">
        <v>14</v>
      </c>
      <c r="C407" t="s">
        <v>5</v>
      </c>
    </row>
    <row r="408" spans="1:3">
      <c r="A408" t="s">
        <v>79</v>
      </c>
      <c r="B408" t="s">
        <v>15</v>
      </c>
      <c r="C408" t="s">
        <v>5</v>
      </c>
    </row>
    <row r="409" spans="1:3">
      <c r="A409" t="s">
        <v>79</v>
      </c>
      <c r="B409" t="s">
        <v>16</v>
      </c>
      <c r="C409" t="s">
        <v>5</v>
      </c>
    </row>
    <row r="410" spans="1:3">
      <c r="A410" t="s">
        <v>79</v>
      </c>
      <c r="B410" t="s">
        <v>17</v>
      </c>
      <c r="C410" t="s">
        <v>5</v>
      </c>
    </row>
    <row r="411" spans="1:3">
      <c r="A411" t="s">
        <v>79</v>
      </c>
      <c r="B411" t="s">
        <v>18</v>
      </c>
      <c r="C411" t="s">
        <v>5</v>
      </c>
    </row>
    <row r="412" spans="1:3">
      <c r="A412" t="s">
        <v>79</v>
      </c>
      <c r="B412" t="s">
        <v>19</v>
      </c>
      <c r="C412" t="s">
        <v>5</v>
      </c>
    </row>
    <row r="413" spans="1:3">
      <c r="A413" t="s">
        <v>79</v>
      </c>
      <c r="B413" t="s">
        <v>20</v>
      </c>
      <c r="C413" t="s">
        <v>5</v>
      </c>
    </row>
    <row r="414" spans="1:3">
      <c r="A414" t="s">
        <v>79</v>
      </c>
      <c r="B414" t="s">
        <v>8</v>
      </c>
      <c r="C414" t="s">
        <v>5</v>
      </c>
    </row>
    <row r="415" spans="1:3">
      <c r="A415" t="s">
        <v>79</v>
      </c>
      <c r="B415" t="s">
        <v>9</v>
      </c>
      <c r="C415" t="s">
        <v>5</v>
      </c>
    </row>
    <row r="416" spans="1:3">
      <c r="A416" t="s">
        <v>80</v>
      </c>
      <c r="B416" t="s">
        <v>12</v>
      </c>
      <c r="C416" t="s">
        <v>5</v>
      </c>
    </row>
    <row r="417" spans="1:3">
      <c r="A417" t="s">
        <v>80</v>
      </c>
      <c r="B417" t="s">
        <v>13</v>
      </c>
      <c r="C417" t="s">
        <v>5</v>
      </c>
    </row>
    <row r="418" spans="1:3">
      <c r="A418" t="s">
        <v>80</v>
      </c>
      <c r="B418" t="s">
        <v>7</v>
      </c>
      <c r="C418" t="s">
        <v>5</v>
      </c>
    </row>
    <row r="419" spans="1:3">
      <c r="A419" t="s">
        <v>80</v>
      </c>
      <c r="B419" t="s">
        <v>14</v>
      </c>
      <c r="C419" t="s">
        <v>5</v>
      </c>
    </row>
    <row r="420" spans="1:3">
      <c r="A420" t="s">
        <v>80</v>
      </c>
      <c r="B420" t="s">
        <v>15</v>
      </c>
      <c r="C420" t="s">
        <v>5</v>
      </c>
    </row>
    <row r="421" spans="1:3">
      <c r="A421" t="s">
        <v>80</v>
      </c>
      <c r="B421" t="s">
        <v>16</v>
      </c>
      <c r="C421" t="s">
        <v>5</v>
      </c>
    </row>
    <row r="422" spans="1:3">
      <c r="A422" t="s">
        <v>80</v>
      </c>
      <c r="B422" t="s">
        <v>17</v>
      </c>
      <c r="C422" t="s">
        <v>5</v>
      </c>
    </row>
    <row r="423" spans="1:3">
      <c r="A423" t="s">
        <v>80</v>
      </c>
      <c r="B423" t="s">
        <v>18</v>
      </c>
      <c r="C423" t="s">
        <v>5</v>
      </c>
    </row>
    <row r="424" spans="1:3">
      <c r="A424" t="s">
        <v>80</v>
      </c>
      <c r="B424" t="s">
        <v>19</v>
      </c>
      <c r="C424" t="s">
        <v>5</v>
      </c>
    </row>
    <row r="425" spans="1:3">
      <c r="A425" t="s">
        <v>80</v>
      </c>
      <c r="B425" t="s">
        <v>20</v>
      </c>
      <c r="C425" t="s">
        <v>5</v>
      </c>
    </row>
    <row r="426" spans="1:3">
      <c r="A426" t="s">
        <v>81</v>
      </c>
      <c r="B426" t="s">
        <v>8</v>
      </c>
      <c r="C426" t="s">
        <v>5</v>
      </c>
    </row>
    <row r="427" spans="1:3">
      <c r="A427" t="s">
        <v>81</v>
      </c>
      <c r="B427" t="s">
        <v>9</v>
      </c>
      <c r="C427" t="s">
        <v>5</v>
      </c>
    </row>
    <row r="428" spans="1:3">
      <c r="A428" t="s">
        <v>82</v>
      </c>
      <c r="B428" t="s">
        <v>12</v>
      </c>
      <c r="C428" t="s">
        <v>5</v>
      </c>
    </row>
    <row r="429" spans="1:3">
      <c r="A429" t="s">
        <v>82</v>
      </c>
      <c r="B429" t="s">
        <v>13</v>
      </c>
      <c r="C429" t="s">
        <v>5</v>
      </c>
    </row>
    <row r="430" spans="1:3">
      <c r="A430" t="s">
        <v>82</v>
      </c>
      <c r="B430" t="s">
        <v>7</v>
      </c>
      <c r="C430" t="s">
        <v>5</v>
      </c>
    </row>
    <row r="431" spans="1:3">
      <c r="A431" t="s">
        <v>82</v>
      </c>
      <c r="B431" t="s">
        <v>14</v>
      </c>
      <c r="C431" t="s">
        <v>5</v>
      </c>
    </row>
    <row r="432" spans="1:3">
      <c r="A432" t="s">
        <v>82</v>
      </c>
      <c r="B432" t="s">
        <v>15</v>
      </c>
      <c r="C432" t="s">
        <v>5</v>
      </c>
    </row>
    <row r="433" spans="1:3">
      <c r="A433" t="s">
        <v>82</v>
      </c>
      <c r="B433" t="s">
        <v>16</v>
      </c>
      <c r="C433" t="s">
        <v>5</v>
      </c>
    </row>
    <row r="434" spans="1:3">
      <c r="A434" t="s">
        <v>82</v>
      </c>
      <c r="B434" t="s">
        <v>17</v>
      </c>
      <c r="C434" t="s">
        <v>5</v>
      </c>
    </row>
    <row r="435" spans="1:3">
      <c r="A435" t="s">
        <v>82</v>
      </c>
      <c r="B435" t="s">
        <v>18</v>
      </c>
      <c r="C435" t="s">
        <v>5</v>
      </c>
    </row>
    <row r="436" spans="1:3">
      <c r="A436" t="s">
        <v>82</v>
      </c>
      <c r="B436" t="s">
        <v>19</v>
      </c>
      <c r="C436" t="s">
        <v>5</v>
      </c>
    </row>
    <row r="437" spans="1:3">
      <c r="A437" t="s">
        <v>82</v>
      </c>
      <c r="B437" t="s">
        <v>20</v>
      </c>
      <c r="C437" t="s">
        <v>5</v>
      </c>
    </row>
    <row r="438" spans="1:3">
      <c r="A438" t="s">
        <v>83</v>
      </c>
      <c r="B438" t="s">
        <v>12</v>
      </c>
      <c r="C438" t="s">
        <v>5</v>
      </c>
    </row>
    <row r="439" spans="1:3">
      <c r="A439" t="s">
        <v>83</v>
      </c>
      <c r="B439" t="s">
        <v>13</v>
      </c>
      <c r="C439" t="s">
        <v>5</v>
      </c>
    </row>
    <row r="440" spans="1:3">
      <c r="A440" t="s">
        <v>83</v>
      </c>
      <c r="B440" t="s">
        <v>7</v>
      </c>
      <c r="C440" t="s">
        <v>5</v>
      </c>
    </row>
    <row r="441" spans="1:3">
      <c r="A441" t="s">
        <v>83</v>
      </c>
      <c r="B441" t="s">
        <v>14</v>
      </c>
      <c r="C441" t="s">
        <v>5</v>
      </c>
    </row>
    <row r="442" spans="1:3">
      <c r="A442" t="s">
        <v>83</v>
      </c>
      <c r="B442" t="s">
        <v>15</v>
      </c>
      <c r="C442" t="s">
        <v>5</v>
      </c>
    </row>
    <row r="443" spans="1:3">
      <c r="A443" t="s">
        <v>83</v>
      </c>
      <c r="B443" t="s">
        <v>16</v>
      </c>
      <c r="C443" t="s">
        <v>5</v>
      </c>
    </row>
    <row r="444" spans="1:3">
      <c r="A444" t="s">
        <v>83</v>
      </c>
      <c r="B444" t="s">
        <v>17</v>
      </c>
      <c r="C444" t="s">
        <v>5</v>
      </c>
    </row>
    <row r="445" spans="1:3">
      <c r="A445" t="s">
        <v>83</v>
      </c>
      <c r="B445" t="s">
        <v>18</v>
      </c>
      <c r="C445" t="s">
        <v>5</v>
      </c>
    </row>
    <row r="446" spans="1:3">
      <c r="A446" t="s">
        <v>83</v>
      </c>
      <c r="B446" t="s">
        <v>19</v>
      </c>
      <c r="C446" t="s">
        <v>5</v>
      </c>
    </row>
    <row r="447" spans="1:3">
      <c r="A447" t="s">
        <v>83</v>
      </c>
      <c r="B447" t="s">
        <v>20</v>
      </c>
      <c r="C447" t="s">
        <v>5</v>
      </c>
    </row>
    <row r="448" spans="1:3">
      <c r="A448" t="s">
        <v>84</v>
      </c>
      <c r="B448" t="s">
        <v>12</v>
      </c>
      <c r="C448" t="s">
        <v>5</v>
      </c>
    </row>
    <row r="449" spans="1:3">
      <c r="A449" t="s">
        <v>84</v>
      </c>
      <c r="B449" t="s">
        <v>13</v>
      </c>
      <c r="C449" t="s">
        <v>5</v>
      </c>
    </row>
    <row r="450" spans="1:3">
      <c r="A450" t="s">
        <v>84</v>
      </c>
      <c r="B450" t="s">
        <v>7</v>
      </c>
      <c r="C450" t="s">
        <v>5</v>
      </c>
    </row>
    <row r="451" spans="1:3">
      <c r="A451" t="s">
        <v>84</v>
      </c>
      <c r="B451" t="s">
        <v>14</v>
      </c>
      <c r="C451" t="s">
        <v>5</v>
      </c>
    </row>
    <row r="452" spans="1:3">
      <c r="A452" t="s">
        <v>84</v>
      </c>
      <c r="B452" t="s">
        <v>15</v>
      </c>
      <c r="C452" t="s">
        <v>5</v>
      </c>
    </row>
    <row r="453" spans="1:3">
      <c r="A453" t="s">
        <v>84</v>
      </c>
      <c r="B453" t="s">
        <v>16</v>
      </c>
      <c r="C453" t="s">
        <v>5</v>
      </c>
    </row>
    <row r="454" spans="1:3">
      <c r="A454" t="s">
        <v>84</v>
      </c>
      <c r="B454" t="s">
        <v>17</v>
      </c>
      <c r="C454" t="s">
        <v>5</v>
      </c>
    </row>
    <row r="455" spans="1:3">
      <c r="A455" t="s">
        <v>84</v>
      </c>
      <c r="B455" t="s">
        <v>18</v>
      </c>
      <c r="C455" t="s">
        <v>5</v>
      </c>
    </row>
    <row r="456" spans="1:3">
      <c r="A456" t="s">
        <v>84</v>
      </c>
      <c r="B456" t="s">
        <v>19</v>
      </c>
      <c r="C456" t="s">
        <v>5</v>
      </c>
    </row>
    <row r="457" spans="1:3">
      <c r="A457" t="s">
        <v>84</v>
      </c>
      <c r="B457" t="s">
        <v>20</v>
      </c>
      <c r="C457" t="s">
        <v>5</v>
      </c>
    </row>
    <row r="458" spans="1:3">
      <c r="A458" t="s">
        <v>85</v>
      </c>
      <c r="B458" t="s">
        <v>12</v>
      </c>
      <c r="C458" t="s">
        <v>5</v>
      </c>
    </row>
    <row r="459" spans="1:3">
      <c r="A459" t="s">
        <v>85</v>
      </c>
      <c r="B459" t="s">
        <v>13</v>
      </c>
      <c r="C459" t="s">
        <v>5</v>
      </c>
    </row>
    <row r="460" spans="1:3">
      <c r="A460" t="s">
        <v>85</v>
      </c>
      <c r="B460" t="s">
        <v>7</v>
      </c>
      <c r="C460" t="s">
        <v>5</v>
      </c>
    </row>
    <row r="461" spans="1:3">
      <c r="A461" t="s">
        <v>85</v>
      </c>
      <c r="B461" t="s">
        <v>14</v>
      </c>
      <c r="C461" t="s">
        <v>5</v>
      </c>
    </row>
    <row r="462" spans="1:3">
      <c r="A462" t="s">
        <v>85</v>
      </c>
      <c r="B462" t="s">
        <v>15</v>
      </c>
      <c r="C462" t="s">
        <v>5</v>
      </c>
    </row>
    <row r="463" spans="1:3">
      <c r="A463" t="s">
        <v>85</v>
      </c>
      <c r="B463" t="s">
        <v>16</v>
      </c>
      <c r="C463" t="s">
        <v>5</v>
      </c>
    </row>
    <row r="464" spans="1:3">
      <c r="A464" t="s">
        <v>85</v>
      </c>
      <c r="B464" t="s">
        <v>17</v>
      </c>
      <c r="C464" t="s">
        <v>5</v>
      </c>
    </row>
    <row r="465" spans="1:3">
      <c r="A465" t="s">
        <v>85</v>
      </c>
      <c r="B465" t="s">
        <v>18</v>
      </c>
      <c r="C465" t="s">
        <v>5</v>
      </c>
    </row>
    <row r="466" spans="1:3">
      <c r="A466" t="s">
        <v>85</v>
      </c>
      <c r="B466" t="s">
        <v>19</v>
      </c>
      <c r="C466" t="s">
        <v>5</v>
      </c>
    </row>
    <row r="467" spans="1:3">
      <c r="A467" t="s">
        <v>85</v>
      </c>
      <c r="B467" t="s">
        <v>20</v>
      </c>
      <c r="C467" t="s">
        <v>5</v>
      </c>
    </row>
    <row r="468" spans="1:3">
      <c r="A468" t="s">
        <v>86</v>
      </c>
      <c r="B468" t="s">
        <v>12</v>
      </c>
      <c r="C468" t="s">
        <v>5</v>
      </c>
    </row>
    <row r="469" spans="1:3">
      <c r="A469" t="s">
        <v>86</v>
      </c>
      <c r="B469" t="s">
        <v>13</v>
      </c>
      <c r="C469" t="s">
        <v>5</v>
      </c>
    </row>
    <row r="470" spans="1:3">
      <c r="A470" t="s">
        <v>86</v>
      </c>
      <c r="B470" t="s">
        <v>7</v>
      </c>
      <c r="C470" t="s">
        <v>5</v>
      </c>
    </row>
    <row r="471" spans="1:3">
      <c r="A471" t="s">
        <v>86</v>
      </c>
      <c r="B471" t="s">
        <v>14</v>
      </c>
      <c r="C471" t="s">
        <v>5</v>
      </c>
    </row>
    <row r="472" spans="1:3">
      <c r="A472" t="s">
        <v>86</v>
      </c>
      <c r="B472" t="s">
        <v>15</v>
      </c>
      <c r="C472" t="s">
        <v>5</v>
      </c>
    </row>
    <row r="473" spans="1:3">
      <c r="A473" t="s">
        <v>86</v>
      </c>
      <c r="B473" t="s">
        <v>16</v>
      </c>
      <c r="C473" t="s">
        <v>5</v>
      </c>
    </row>
    <row r="474" spans="1:3">
      <c r="A474" t="s">
        <v>86</v>
      </c>
      <c r="B474" t="s">
        <v>17</v>
      </c>
      <c r="C474" t="s">
        <v>5</v>
      </c>
    </row>
    <row r="475" spans="1:3">
      <c r="A475" t="s">
        <v>86</v>
      </c>
      <c r="B475" t="s">
        <v>18</v>
      </c>
      <c r="C475" t="s">
        <v>5</v>
      </c>
    </row>
    <row r="476" spans="1:3">
      <c r="A476" t="s">
        <v>86</v>
      </c>
      <c r="B476" t="s">
        <v>19</v>
      </c>
      <c r="C476" t="s">
        <v>5</v>
      </c>
    </row>
    <row r="477" spans="1:3">
      <c r="A477" t="s">
        <v>86</v>
      </c>
      <c r="B477" t="s">
        <v>20</v>
      </c>
      <c r="C477" t="s">
        <v>5</v>
      </c>
    </row>
    <row r="478" spans="1:3">
      <c r="A478" t="s">
        <v>87</v>
      </c>
      <c r="B478" t="s">
        <v>12</v>
      </c>
      <c r="C478" t="s">
        <v>5</v>
      </c>
    </row>
    <row r="479" spans="1:3">
      <c r="A479" t="s">
        <v>87</v>
      </c>
      <c r="B479" t="s">
        <v>13</v>
      </c>
      <c r="C479" t="s">
        <v>5</v>
      </c>
    </row>
    <row r="480" spans="1:3">
      <c r="A480" t="s">
        <v>87</v>
      </c>
      <c r="B480" t="s">
        <v>7</v>
      </c>
      <c r="C480" t="s">
        <v>5</v>
      </c>
    </row>
    <row r="481" spans="1:3">
      <c r="A481" t="s">
        <v>87</v>
      </c>
      <c r="B481" t="s">
        <v>14</v>
      </c>
      <c r="C481" t="s">
        <v>5</v>
      </c>
    </row>
    <row r="482" spans="1:3">
      <c r="A482" t="s">
        <v>87</v>
      </c>
      <c r="B482" t="s">
        <v>15</v>
      </c>
      <c r="C482" t="s">
        <v>5</v>
      </c>
    </row>
    <row r="483" spans="1:3">
      <c r="A483" t="s">
        <v>87</v>
      </c>
      <c r="B483" t="s">
        <v>16</v>
      </c>
      <c r="C483" t="s">
        <v>5</v>
      </c>
    </row>
    <row r="484" spans="1:3">
      <c r="A484" t="s">
        <v>87</v>
      </c>
      <c r="B484" t="s">
        <v>17</v>
      </c>
      <c r="C484" t="s">
        <v>5</v>
      </c>
    </row>
    <row r="485" spans="1:3">
      <c r="A485" t="s">
        <v>87</v>
      </c>
      <c r="B485" t="s">
        <v>18</v>
      </c>
      <c r="C485" t="s">
        <v>5</v>
      </c>
    </row>
    <row r="486" spans="1:3">
      <c r="A486" t="s">
        <v>87</v>
      </c>
      <c r="B486" t="s">
        <v>19</v>
      </c>
      <c r="C486" t="s">
        <v>5</v>
      </c>
    </row>
    <row r="487" spans="1:3">
      <c r="A487" t="s">
        <v>87</v>
      </c>
      <c r="B487" t="s">
        <v>20</v>
      </c>
      <c r="C487" t="s">
        <v>5</v>
      </c>
    </row>
    <row r="488" spans="1:3">
      <c r="A488" t="s">
        <v>88</v>
      </c>
      <c r="B488" t="s">
        <v>12</v>
      </c>
      <c r="C488" t="s">
        <v>5</v>
      </c>
    </row>
    <row r="489" spans="1:3">
      <c r="A489" t="s">
        <v>88</v>
      </c>
      <c r="B489" t="s">
        <v>13</v>
      </c>
      <c r="C489" t="s">
        <v>5</v>
      </c>
    </row>
    <row r="490" spans="1:3">
      <c r="A490" t="s">
        <v>88</v>
      </c>
      <c r="B490" t="s">
        <v>7</v>
      </c>
      <c r="C490" t="s">
        <v>5</v>
      </c>
    </row>
    <row r="491" spans="1:3">
      <c r="A491" t="s">
        <v>88</v>
      </c>
      <c r="B491" t="s">
        <v>14</v>
      </c>
      <c r="C491" t="s">
        <v>5</v>
      </c>
    </row>
    <row r="492" spans="1:3">
      <c r="A492" t="s">
        <v>88</v>
      </c>
      <c r="B492" t="s">
        <v>15</v>
      </c>
      <c r="C492" t="s">
        <v>5</v>
      </c>
    </row>
    <row r="493" spans="1:3">
      <c r="A493" t="s">
        <v>88</v>
      </c>
      <c r="B493" t="s">
        <v>16</v>
      </c>
      <c r="C493" t="s">
        <v>5</v>
      </c>
    </row>
    <row r="494" spans="1:3">
      <c r="A494" t="s">
        <v>88</v>
      </c>
      <c r="B494" t="s">
        <v>17</v>
      </c>
      <c r="C494" t="s">
        <v>5</v>
      </c>
    </row>
    <row r="495" spans="1:3">
      <c r="A495" t="s">
        <v>88</v>
      </c>
      <c r="B495" t="s">
        <v>18</v>
      </c>
      <c r="C495" t="s">
        <v>5</v>
      </c>
    </row>
    <row r="496" spans="1:3">
      <c r="A496" t="s">
        <v>88</v>
      </c>
      <c r="B496" t="s">
        <v>19</v>
      </c>
      <c r="C496" t="s">
        <v>5</v>
      </c>
    </row>
    <row r="497" spans="1:3">
      <c r="A497" t="s">
        <v>88</v>
      </c>
      <c r="B497" t="s">
        <v>20</v>
      </c>
      <c r="C497" t="s">
        <v>5</v>
      </c>
    </row>
    <row r="498" spans="1:3">
      <c r="A498" t="s">
        <v>89</v>
      </c>
      <c r="B498" t="s">
        <v>8</v>
      </c>
      <c r="C498" t="s">
        <v>5</v>
      </c>
    </row>
    <row r="499" spans="1:3">
      <c r="A499" t="s">
        <v>89</v>
      </c>
      <c r="B499" t="s">
        <v>9</v>
      </c>
      <c r="C499" t="s">
        <v>5</v>
      </c>
    </row>
    <row r="500" spans="1:3">
      <c r="A500" t="s">
        <v>90</v>
      </c>
      <c r="B500" t="s">
        <v>12</v>
      </c>
      <c r="C500" t="s">
        <v>5</v>
      </c>
    </row>
    <row r="501" spans="1:3">
      <c r="A501" t="s">
        <v>90</v>
      </c>
      <c r="B501" t="s">
        <v>13</v>
      </c>
      <c r="C501" t="s">
        <v>5</v>
      </c>
    </row>
    <row r="502" spans="1:3">
      <c r="A502" t="s">
        <v>90</v>
      </c>
      <c r="B502" t="s">
        <v>7</v>
      </c>
      <c r="C502" t="s">
        <v>5</v>
      </c>
    </row>
    <row r="503" spans="1:3">
      <c r="A503" t="s">
        <v>90</v>
      </c>
      <c r="B503" t="s">
        <v>14</v>
      </c>
      <c r="C503" t="s">
        <v>5</v>
      </c>
    </row>
    <row r="504" spans="1:3">
      <c r="A504" t="s">
        <v>90</v>
      </c>
      <c r="B504" t="s">
        <v>15</v>
      </c>
      <c r="C504" t="s">
        <v>5</v>
      </c>
    </row>
    <row r="505" spans="1:3">
      <c r="A505" t="s">
        <v>90</v>
      </c>
      <c r="B505" t="s">
        <v>16</v>
      </c>
      <c r="C505" t="s">
        <v>5</v>
      </c>
    </row>
    <row r="506" spans="1:3">
      <c r="A506" t="s">
        <v>90</v>
      </c>
      <c r="B506" t="s">
        <v>17</v>
      </c>
      <c r="C506" t="s">
        <v>5</v>
      </c>
    </row>
    <row r="507" spans="1:3">
      <c r="A507" t="s">
        <v>90</v>
      </c>
      <c r="B507" t="s">
        <v>18</v>
      </c>
      <c r="C507" t="s">
        <v>5</v>
      </c>
    </row>
    <row r="508" spans="1:3">
      <c r="A508" t="s">
        <v>90</v>
      </c>
      <c r="B508" t="s">
        <v>19</v>
      </c>
      <c r="C508" t="s">
        <v>5</v>
      </c>
    </row>
    <row r="509" spans="1:3">
      <c r="A509" t="s">
        <v>90</v>
      </c>
      <c r="B509" t="s">
        <v>20</v>
      </c>
      <c r="C509" t="s">
        <v>5</v>
      </c>
    </row>
    <row r="510" spans="1:3">
      <c r="A510" t="s">
        <v>91</v>
      </c>
      <c r="B510" t="s">
        <v>12</v>
      </c>
      <c r="C510" t="s">
        <v>5</v>
      </c>
    </row>
    <row r="511" spans="1:3">
      <c r="A511" t="s">
        <v>91</v>
      </c>
      <c r="B511" t="s">
        <v>13</v>
      </c>
      <c r="C511" t="s">
        <v>5</v>
      </c>
    </row>
    <row r="512" spans="1:3">
      <c r="A512" t="s">
        <v>91</v>
      </c>
      <c r="B512" t="s">
        <v>7</v>
      </c>
      <c r="C512" t="s">
        <v>5</v>
      </c>
    </row>
    <row r="513" spans="1:3">
      <c r="A513" t="s">
        <v>91</v>
      </c>
      <c r="B513" t="s">
        <v>14</v>
      </c>
      <c r="C513" t="s">
        <v>5</v>
      </c>
    </row>
    <row r="514" spans="1:3">
      <c r="A514" t="s">
        <v>91</v>
      </c>
      <c r="B514" t="s">
        <v>15</v>
      </c>
      <c r="C514" t="s">
        <v>5</v>
      </c>
    </row>
    <row r="515" spans="1:3">
      <c r="A515" t="s">
        <v>91</v>
      </c>
      <c r="B515" t="s">
        <v>16</v>
      </c>
      <c r="C515" t="s">
        <v>5</v>
      </c>
    </row>
    <row r="516" spans="1:3">
      <c r="A516" t="s">
        <v>91</v>
      </c>
      <c r="B516" t="s">
        <v>17</v>
      </c>
      <c r="C516" t="s">
        <v>5</v>
      </c>
    </row>
    <row r="517" spans="1:3">
      <c r="A517" t="s">
        <v>91</v>
      </c>
      <c r="B517" t="s">
        <v>18</v>
      </c>
      <c r="C517" t="s">
        <v>5</v>
      </c>
    </row>
    <row r="518" spans="1:3">
      <c r="A518" t="s">
        <v>91</v>
      </c>
      <c r="B518" t="s">
        <v>19</v>
      </c>
      <c r="C518" t="s">
        <v>5</v>
      </c>
    </row>
    <row r="519" spans="1:3">
      <c r="A519" t="s">
        <v>91</v>
      </c>
      <c r="B519" t="s">
        <v>20</v>
      </c>
      <c r="C519" t="s">
        <v>5</v>
      </c>
    </row>
    <row r="520" spans="1:3">
      <c r="A520" t="s">
        <v>92</v>
      </c>
      <c r="B520" t="s">
        <v>12</v>
      </c>
      <c r="C520" t="s">
        <v>5</v>
      </c>
    </row>
    <row r="521" spans="1:3">
      <c r="A521" t="s">
        <v>92</v>
      </c>
      <c r="B521" t="s">
        <v>13</v>
      </c>
      <c r="C521" t="s">
        <v>5</v>
      </c>
    </row>
    <row r="522" spans="1:3">
      <c r="A522" t="s">
        <v>92</v>
      </c>
      <c r="B522" t="s">
        <v>7</v>
      </c>
      <c r="C522" t="s">
        <v>5</v>
      </c>
    </row>
    <row r="523" spans="1:3">
      <c r="A523" t="s">
        <v>92</v>
      </c>
      <c r="B523" t="s">
        <v>14</v>
      </c>
      <c r="C523" t="s">
        <v>5</v>
      </c>
    </row>
    <row r="524" spans="1:3">
      <c r="A524" t="s">
        <v>92</v>
      </c>
      <c r="B524" t="s">
        <v>15</v>
      </c>
      <c r="C524" t="s">
        <v>5</v>
      </c>
    </row>
    <row r="525" spans="1:3">
      <c r="A525" t="s">
        <v>92</v>
      </c>
      <c r="B525" t="s">
        <v>16</v>
      </c>
      <c r="C525" t="s">
        <v>5</v>
      </c>
    </row>
    <row r="526" spans="1:3">
      <c r="A526" t="s">
        <v>92</v>
      </c>
      <c r="B526" t="s">
        <v>17</v>
      </c>
      <c r="C526" t="s">
        <v>5</v>
      </c>
    </row>
    <row r="527" spans="1:3">
      <c r="A527" t="s">
        <v>92</v>
      </c>
      <c r="B527" t="s">
        <v>18</v>
      </c>
      <c r="C527" t="s">
        <v>5</v>
      </c>
    </row>
    <row r="528" spans="1:3">
      <c r="A528" t="s">
        <v>92</v>
      </c>
      <c r="B528" t="s">
        <v>19</v>
      </c>
      <c r="C528" t="s">
        <v>5</v>
      </c>
    </row>
    <row r="529" spans="1:3">
      <c r="A529" t="s">
        <v>92</v>
      </c>
      <c r="B529" t="s">
        <v>20</v>
      </c>
      <c r="C529" t="s">
        <v>5</v>
      </c>
    </row>
    <row r="530" spans="1:3">
      <c r="A530" t="s">
        <v>93</v>
      </c>
      <c r="B530" t="s">
        <v>12</v>
      </c>
      <c r="C530" t="s">
        <v>5</v>
      </c>
    </row>
    <row r="531" spans="1:3">
      <c r="A531" t="s">
        <v>93</v>
      </c>
      <c r="B531" t="s">
        <v>13</v>
      </c>
      <c r="C531" t="s">
        <v>5</v>
      </c>
    </row>
    <row r="532" spans="1:3">
      <c r="A532" t="s">
        <v>93</v>
      </c>
      <c r="B532" t="s">
        <v>7</v>
      </c>
      <c r="C532" t="s">
        <v>5</v>
      </c>
    </row>
    <row r="533" spans="1:3">
      <c r="A533" t="s">
        <v>93</v>
      </c>
      <c r="B533" t="s">
        <v>4</v>
      </c>
      <c r="C533" t="s">
        <v>5</v>
      </c>
    </row>
    <row r="534" spans="1:3">
      <c r="A534" t="s">
        <v>93</v>
      </c>
      <c r="B534" t="s">
        <v>14</v>
      </c>
      <c r="C534" t="s">
        <v>5</v>
      </c>
    </row>
    <row r="535" spans="1:3">
      <c r="A535" t="s">
        <v>93</v>
      </c>
      <c r="B535" t="s">
        <v>15</v>
      </c>
      <c r="C535" t="s">
        <v>5</v>
      </c>
    </row>
    <row r="536" spans="1:3">
      <c r="A536" t="s">
        <v>93</v>
      </c>
      <c r="B536" t="s">
        <v>16</v>
      </c>
      <c r="C536" t="s">
        <v>5</v>
      </c>
    </row>
    <row r="537" spans="1:3">
      <c r="A537" t="s">
        <v>93</v>
      </c>
      <c r="B537" t="s">
        <v>17</v>
      </c>
      <c r="C537" t="s">
        <v>5</v>
      </c>
    </row>
    <row r="538" spans="1:3">
      <c r="A538" t="s">
        <v>93</v>
      </c>
      <c r="B538" t="s">
        <v>50</v>
      </c>
      <c r="C538" t="s">
        <v>5</v>
      </c>
    </row>
    <row r="539" spans="1:3">
      <c r="A539" t="s">
        <v>93</v>
      </c>
      <c r="B539" t="s">
        <v>30</v>
      </c>
      <c r="C539" t="s">
        <v>5</v>
      </c>
    </row>
    <row r="540" spans="1:3">
      <c r="A540" t="s">
        <v>93</v>
      </c>
      <c r="B540" t="s">
        <v>18</v>
      </c>
      <c r="C540" t="s">
        <v>5</v>
      </c>
    </row>
    <row r="541" spans="1:3">
      <c r="A541" t="s">
        <v>93</v>
      </c>
      <c r="B541" t="s">
        <v>19</v>
      </c>
      <c r="C541" t="s">
        <v>5</v>
      </c>
    </row>
    <row r="542" spans="1:3">
      <c r="A542" t="s">
        <v>93</v>
      </c>
      <c r="B542" t="s">
        <v>32</v>
      </c>
      <c r="C542" t="s">
        <v>5</v>
      </c>
    </row>
    <row r="543" spans="1:3">
      <c r="A543" t="s">
        <v>93</v>
      </c>
      <c r="B543" t="s">
        <v>20</v>
      </c>
      <c r="C543" t="s">
        <v>5</v>
      </c>
    </row>
    <row r="544" spans="1:3">
      <c r="A544" t="s">
        <v>93</v>
      </c>
      <c r="B544" t="s">
        <v>9</v>
      </c>
      <c r="C544" t="s">
        <v>5</v>
      </c>
    </row>
    <row r="545" spans="1:3">
      <c r="A545" t="s">
        <v>94</v>
      </c>
      <c r="B545" t="s">
        <v>12</v>
      </c>
      <c r="C545" t="s">
        <v>5</v>
      </c>
    </row>
    <row r="546" spans="1:3">
      <c r="A546" t="s">
        <v>94</v>
      </c>
      <c r="B546" t="s">
        <v>13</v>
      </c>
      <c r="C546" t="s">
        <v>5</v>
      </c>
    </row>
    <row r="547" spans="1:3">
      <c r="A547" t="s">
        <v>94</v>
      </c>
      <c r="B547" t="s">
        <v>7</v>
      </c>
      <c r="C547" t="s">
        <v>5</v>
      </c>
    </row>
    <row r="548" spans="1:3">
      <c r="A548" t="s">
        <v>94</v>
      </c>
      <c r="B548" t="s">
        <v>14</v>
      </c>
      <c r="C548" t="s">
        <v>5</v>
      </c>
    </row>
    <row r="549" spans="1:3">
      <c r="A549" t="s">
        <v>94</v>
      </c>
      <c r="B549" t="s">
        <v>15</v>
      </c>
      <c r="C549" t="s">
        <v>5</v>
      </c>
    </row>
    <row r="550" spans="1:3">
      <c r="A550" t="s">
        <v>94</v>
      </c>
      <c r="B550" t="s">
        <v>16</v>
      </c>
      <c r="C550" t="s">
        <v>5</v>
      </c>
    </row>
    <row r="551" spans="1:3">
      <c r="A551" t="s">
        <v>94</v>
      </c>
      <c r="B551" t="s">
        <v>17</v>
      </c>
      <c r="C551" t="s">
        <v>5</v>
      </c>
    </row>
    <row r="552" spans="1:3">
      <c r="A552" t="s">
        <v>94</v>
      </c>
      <c r="B552" t="s">
        <v>18</v>
      </c>
      <c r="C552" t="s">
        <v>5</v>
      </c>
    </row>
    <row r="553" spans="1:3">
      <c r="A553" t="s">
        <v>94</v>
      </c>
      <c r="B553" t="s">
        <v>19</v>
      </c>
      <c r="C553" t="s">
        <v>5</v>
      </c>
    </row>
    <row r="554" spans="1:3">
      <c r="A554" t="s">
        <v>94</v>
      </c>
      <c r="B554" t="s">
        <v>20</v>
      </c>
      <c r="C554" t="s">
        <v>5</v>
      </c>
    </row>
    <row r="555" spans="1:3">
      <c r="A555" t="s">
        <v>95</v>
      </c>
      <c r="B555" t="s">
        <v>12</v>
      </c>
      <c r="C555" t="s">
        <v>5</v>
      </c>
    </row>
    <row r="556" spans="1:3">
      <c r="A556" t="s">
        <v>95</v>
      </c>
      <c r="B556" t="s">
        <v>13</v>
      </c>
      <c r="C556" t="s">
        <v>5</v>
      </c>
    </row>
    <row r="557" spans="1:3">
      <c r="A557" t="s">
        <v>95</v>
      </c>
      <c r="B557" t="s">
        <v>7</v>
      </c>
      <c r="C557" t="s">
        <v>5</v>
      </c>
    </row>
    <row r="558" spans="1:3">
      <c r="A558" t="s">
        <v>95</v>
      </c>
      <c r="B558" t="s">
        <v>14</v>
      </c>
      <c r="C558" t="s">
        <v>5</v>
      </c>
    </row>
    <row r="559" spans="1:3">
      <c r="A559" t="s">
        <v>95</v>
      </c>
      <c r="B559" t="s">
        <v>15</v>
      </c>
      <c r="C559" t="s">
        <v>5</v>
      </c>
    </row>
    <row r="560" spans="1:3">
      <c r="A560" t="s">
        <v>95</v>
      </c>
      <c r="B560" t="s">
        <v>16</v>
      </c>
      <c r="C560" t="s">
        <v>5</v>
      </c>
    </row>
    <row r="561" spans="1:3">
      <c r="A561" t="s">
        <v>95</v>
      </c>
      <c r="B561" t="s">
        <v>17</v>
      </c>
      <c r="C561" t="s">
        <v>5</v>
      </c>
    </row>
    <row r="562" spans="1:3">
      <c r="A562" t="s">
        <v>95</v>
      </c>
      <c r="B562" t="s">
        <v>18</v>
      </c>
      <c r="C562" t="s">
        <v>5</v>
      </c>
    </row>
    <row r="563" spans="1:3">
      <c r="A563" t="s">
        <v>95</v>
      </c>
      <c r="B563" t="s">
        <v>19</v>
      </c>
      <c r="C563" t="s">
        <v>5</v>
      </c>
    </row>
    <row r="564" spans="1:3">
      <c r="A564" t="s">
        <v>95</v>
      </c>
      <c r="B564" t="s">
        <v>20</v>
      </c>
      <c r="C564" t="s">
        <v>5</v>
      </c>
    </row>
    <row r="565" spans="1:3">
      <c r="A565" t="s">
        <v>96</v>
      </c>
      <c r="B565" t="s">
        <v>12</v>
      </c>
      <c r="C565" t="s">
        <v>5</v>
      </c>
    </row>
    <row r="566" spans="1:3">
      <c r="A566" t="s">
        <v>96</v>
      </c>
      <c r="B566" t="s">
        <v>13</v>
      </c>
      <c r="C566" t="s">
        <v>5</v>
      </c>
    </row>
    <row r="567" spans="1:3">
      <c r="A567" t="s">
        <v>96</v>
      </c>
      <c r="B567" t="s">
        <v>7</v>
      </c>
      <c r="C567" t="s">
        <v>5</v>
      </c>
    </row>
    <row r="568" spans="1:3">
      <c r="A568" t="s">
        <v>96</v>
      </c>
      <c r="B568" t="s">
        <v>14</v>
      </c>
      <c r="C568" t="s">
        <v>5</v>
      </c>
    </row>
    <row r="569" spans="1:3">
      <c r="A569" t="s">
        <v>96</v>
      </c>
      <c r="B569" t="s">
        <v>15</v>
      </c>
      <c r="C569" t="s">
        <v>5</v>
      </c>
    </row>
    <row r="570" spans="1:3">
      <c r="A570" t="s">
        <v>96</v>
      </c>
      <c r="B570" t="s">
        <v>16</v>
      </c>
      <c r="C570" t="s">
        <v>5</v>
      </c>
    </row>
    <row r="571" spans="1:3">
      <c r="A571" t="s">
        <v>96</v>
      </c>
      <c r="B571" t="s">
        <v>17</v>
      </c>
      <c r="C571" t="s">
        <v>5</v>
      </c>
    </row>
    <row r="572" spans="1:3">
      <c r="A572" t="s">
        <v>96</v>
      </c>
      <c r="B572" t="s">
        <v>18</v>
      </c>
      <c r="C572" t="s">
        <v>5</v>
      </c>
    </row>
    <row r="573" spans="1:3">
      <c r="A573" t="s">
        <v>96</v>
      </c>
      <c r="B573" t="s">
        <v>19</v>
      </c>
      <c r="C573" t="s">
        <v>5</v>
      </c>
    </row>
    <row r="574" spans="1:3">
      <c r="A574" t="s">
        <v>96</v>
      </c>
      <c r="B574" t="s">
        <v>20</v>
      </c>
      <c r="C574" t="s">
        <v>5</v>
      </c>
    </row>
    <row r="575" spans="1:3">
      <c r="A575" t="s">
        <v>97</v>
      </c>
      <c r="B575" t="s">
        <v>7</v>
      </c>
      <c r="C575" t="s">
        <v>5</v>
      </c>
    </row>
    <row r="576" spans="1:3">
      <c r="A576" t="s">
        <v>97</v>
      </c>
      <c r="B576" t="s">
        <v>4</v>
      </c>
      <c r="C576" t="s">
        <v>5</v>
      </c>
    </row>
    <row r="577" spans="1:3">
      <c r="A577" t="s">
        <v>97</v>
      </c>
      <c r="B577" t="s">
        <v>17</v>
      </c>
      <c r="C577" t="s">
        <v>5</v>
      </c>
    </row>
    <row r="578" spans="1:3">
      <c r="A578" t="s">
        <v>97</v>
      </c>
      <c r="B578" t="s">
        <v>30</v>
      </c>
      <c r="C578" t="s">
        <v>5</v>
      </c>
    </row>
    <row r="579" spans="1:3">
      <c r="A579" t="s">
        <v>97</v>
      </c>
      <c r="B579" t="s">
        <v>19</v>
      </c>
      <c r="C579" t="s">
        <v>5</v>
      </c>
    </row>
    <row r="580" spans="1:3">
      <c r="A580" t="s">
        <v>97</v>
      </c>
      <c r="B580" t="s">
        <v>32</v>
      </c>
      <c r="C580" t="s">
        <v>5</v>
      </c>
    </row>
    <row r="581" spans="1:3">
      <c r="A581" t="s">
        <v>97</v>
      </c>
      <c r="B581" t="s">
        <v>8</v>
      </c>
      <c r="C581" t="s">
        <v>5</v>
      </c>
    </row>
    <row r="582" spans="1:3">
      <c r="A582" t="s">
        <v>97</v>
      </c>
      <c r="B582" t="s">
        <v>9</v>
      </c>
      <c r="C582" t="s">
        <v>5</v>
      </c>
    </row>
    <row r="583" spans="1:3">
      <c r="A583" t="s">
        <v>98</v>
      </c>
      <c r="B583" t="s">
        <v>7</v>
      </c>
      <c r="C583" t="s">
        <v>5</v>
      </c>
    </row>
    <row r="584" spans="1:3">
      <c r="A584" t="s">
        <v>98</v>
      </c>
      <c r="B584" t="s">
        <v>4</v>
      </c>
      <c r="C584" t="s">
        <v>5</v>
      </c>
    </row>
    <row r="585" spans="1:3">
      <c r="A585" t="s">
        <v>98</v>
      </c>
      <c r="B585" t="s">
        <v>9</v>
      </c>
      <c r="C585" t="s">
        <v>5</v>
      </c>
    </row>
    <row r="586" spans="1:3">
      <c r="A586" t="s">
        <v>99</v>
      </c>
      <c r="B586" t="s">
        <v>12</v>
      </c>
      <c r="C586" t="s">
        <v>5</v>
      </c>
    </row>
    <row r="587" spans="1:3">
      <c r="A587" t="s">
        <v>99</v>
      </c>
      <c r="B587" t="s">
        <v>13</v>
      </c>
      <c r="C587" t="s">
        <v>5</v>
      </c>
    </row>
    <row r="588" spans="1:3">
      <c r="A588" t="s">
        <v>99</v>
      </c>
      <c r="B588" t="s">
        <v>7</v>
      </c>
      <c r="C588" t="s">
        <v>5</v>
      </c>
    </row>
    <row r="589" spans="1:3">
      <c r="A589" t="s">
        <v>99</v>
      </c>
      <c r="B589" t="s">
        <v>14</v>
      </c>
      <c r="C589" t="s">
        <v>5</v>
      </c>
    </row>
    <row r="590" spans="1:3">
      <c r="A590" t="s">
        <v>99</v>
      </c>
      <c r="B590" t="s">
        <v>15</v>
      </c>
      <c r="C590" t="s">
        <v>5</v>
      </c>
    </row>
    <row r="591" spans="1:3">
      <c r="A591" t="s">
        <v>99</v>
      </c>
      <c r="B591" t="s">
        <v>16</v>
      </c>
      <c r="C591" t="s">
        <v>5</v>
      </c>
    </row>
    <row r="592" spans="1:3">
      <c r="A592" t="s">
        <v>99</v>
      </c>
      <c r="B592" t="s">
        <v>17</v>
      </c>
      <c r="C592" t="s">
        <v>5</v>
      </c>
    </row>
    <row r="593" spans="1:3">
      <c r="A593" t="s">
        <v>99</v>
      </c>
      <c r="B593" t="s">
        <v>18</v>
      </c>
      <c r="C593" t="s">
        <v>5</v>
      </c>
    </row>
    <row r="594" spans="1:3">
      <c r="A594" t="s">
        <v>99</v>
      </c>
      <c r="B594" t="s">
        <v>19</v>
      </c>
      <c r="C594" t="s">
        <v>5</v>
      </c>
    </row>
    <row r="595" spans="1:3">
      <c r="A595" t="s">
        <v>99</v>
      </c>
      <c r="B595" t="s">
        <v>20</v>
      </c>
      <c r="C595" t="s">
        <v>5</v>
      </c>
    </row>
    <row r="596" spans="1:3">
      <c r="A596" t="s">
        <v>100</v>
      </c>
      <c r="B596" t="s">
        <v>7</v>
      </c>
      <c r="C596" t="s">
        <v>5</v>
      </c>
    </row>
    <row r="597" spans="1:3">
      <c r="A597" t="s">
        <v>100</v>
      </c>
      <c r="B597" t="s">
        <v>4</v>
      </c>
      <c r="C597" t="s">
        <v>5</v>
      </c>
    </row>
    <row r="598" spans="1:3">
      <c r="A598" t="s">
        <v>100</v>
      </c>
      <c r="B598" t="s">
        <v>8</v>
      </c>
      <c r="C598" t="s">
        <v>5</v>
      </c>
    </row>
    <row r="599" spans="1:3">
      <c r="A599" t="s">
        <v>100</v>
      </c>
      <c r="B599" t="s">
        <v>9</v>
      </c>
      <c r="C599" t="s">
        <v>5</v>
      </c>
    </row>
    <row r="600" spans="1:3">
      <c r="A600" t="s">
        <v>101</v>
      </c>
      <c r="B600" t="s">
        <v>12</v>
      </c>
      <c r="C600" t="s">
        <v>5</v>
      </c>
    </row>
    <row r="601" spans="1:3">
      <c r="A601" t="s">
        <v>101</v>
      </c>
      <c r="B601" t="s">
        <v>13</v>
      </c>
      <c r="C601" t="s">
        <v>5</v>
      </c>
    </row>
    <row r="602" spans="1:3">
      <c r="A602" t="s">
        <v>101</v>
      </c>
      <c r="B602" t="s">
        <v>7</v>
      </c>
      <c r="C602" t="s">
        <v>5</v>
      </c>
    </row>
    <row r="603" spans="1:3">
      <c r="A603" t="s">
        <v>101</v>
      </c>
      <c r="B603" t="s">
        <v>14</v>
      </c>
      <c r="C603" t="s">
        <v>5</v>
      </c>
    </row>
    <row r="604" spans="1:3">
      <c r="A604" t="s">
        <v>101</v>
      </c>
      <c r="B604" t="s">
        <v>15</v>
      </c>
      <c r="C604" t="s">
        <v>5</v>
      </c>
    </row>
    <row r="605" spans="1:3">
      <c r="A605" t="s">
        <v>101</v>
      </c>
      <c r="B605" t="s">
        <v>16</v>
      </c>
      <c r="C605" t="s">
        <v>5</v>
      </c>
    </row>
    <row r="606" spans="1:3">
      <c r="A606" t="s">
        <v>101</v>
      </c>
      <c r="B606" t="s">
        <v>17</v>
      </c>
      <c r="C606" t="s">
        <v>5</v>
      </c>
    </row>
    <row r="607" spans="1:3">
      <c r="A607" t="s">
        <v>101</v>
      </c>
      <c r="B607" t="s">
        <v>18</v>
      </c>
      <c r="C607" t="s">
        <v>5</v>
      </c>
    </row>
    <row r="608" spans="1:3">
      <c r="A608" t="s">
        <v>101</v>
      </c>
      <c r="B608" t="s">
        <v>19</v>
      </c>
      <c r="C608" t="s">
        <v>5</v>
      </c>
    </row>
    <row r="609" spans="1:3">
      <c r="A609" t="s">
        <v>101</v>
      </c>
      <c r="B609" t="s">
        <v>20</v>
      </c>
      <c r="C609" t="s">
        <v>5</v>
      </c>
    </row>
    <row r="610" spans="1:3">
      <c r="A610" t="s">
        <v>102</v>
      </c>
      <c r="B610" t="s">
        <v>12</v>
      </c>
      <c r="C610" t="s">
        <v>5</v>
      </c>
    </row>
    <row r="611" spans="1:3">
      <c r="A611" t="s">
        <v>102</v>
      </c>
      <c r="B611" t="s">
        <v>13</v>
      </c>
      <c r="C611" t="s">
        <v>5</v>
      </c>
    </row>
    <row r="612" spans="1:3">
      <c r="A612" t="s">
        <v>102</v>
      </c>
      <c r="B612" t="s">
        <v>7</v>
      </c>
      <c r="C612" t="s">
        <v>5</v>
      </c>
    </row>
    <row r="613" spans="1:3">
      <c r="A613" t="s">
        <v>102</v>
      </c>
      <c r="B613" t="s">
        <v>14</v>
      </c>
      <c r="C613" t="s">
        <v>5</v>
      </c>
    </row>
    <row r="614" spans="1:3">
      <c r="A614" t="s">
        <v>102</v>
      </c>
      <c r="B614" t="s">
        <v>15</v>
      </c>
      <c r="C614" t="s">
        <v>5</v>
      </c>
    </row>
    <row r="615" spans="1:3">
      <c r="A615" t="s">
        <v>102</v>
      </c>
      <c r="B615" t="s">
        <v>16</v>
      </c>
      <c r="C615" t="s">
        <v>5</v>
      </c>
    </row>
    <row r="616" spans="1:3">
      <c r="A616" t="s">
        <v>102</v>
      </c>
      <c r="B616" t="s">
        <v>17</v>
      </c>
      <c r="C616" t="s">
        <v>5</v>
      </c>
    </row>
    <row r="617" spans="1:3">
      <c r="A617" t="s">
        <v>102</v>
      </c>
      <c r="B617" t="s">
        <v>18</v>
      </c>
      <c r="C617" t="s">
        <v>5</v>
      </c>
    </row>
    <row r="618" spans="1:3">
      <c r="A618" t="s">
        <v>102</v>
      </c>
      <c r="B618" t="s">
        <v>19</v>
      </c>
      <c r="C618" t="s">
        <v>5</v>
      </c>
    </row>
    <row r="619" spans="1:3">
      <c r="A619" t="s">
        <v>102</v>
      </c>
      <c r="B619" t="s">
        <v>20</v>
      </c>
      <c r="C619" t="s">
        <v>5</v>
      </c>
    </row>
    <row r="620" spans="1:3">
      <c r="A620" t="s">
        <v>103</v>
      </c>
      <c r="B620" t="s">
        <v>12</v>
      </c>
      <c r="C620" t="s">
        <v>5</v>
      </c>
    </row>
    <row r="621" spans="1:3">
      <c r="A621" t="s">
        <v>103</v>
      </c>
      <c r="B621" t="s">
        <v>13</v>
      </c>
      <c r="C621" t="s">
        <v>5</v>
      </c>
    </row>
    <row r="622" spans="1:3">
      <c r="A622" t="s">
        <v>103</v>
      </c>
      <c r="B622" t="s">
        <v>7</v>
      </c>
      <c r="C622" t="s">
        <v>5</v>
      </c>
    </row>
    <row r="623" spans="1:3">
      <c r="A623" t="s">
        <v>103</v>
      </c>
      <c r="B623" t="s">
        <v>14</v>
      </c>
      <c r="C623" t="s">
        <v>5</v>
      </c>
    </row>
    <row r="624" spans="1:3">
      <c r="A624" t="s">
        <v>103</v>
      </c>
      <c r="B624" t="s">
        <v>15</v>
      </c>
      <c r="C624" t="s">
        <v>5</v>
      </c>
    </row>
    <row r="625" spans="1:3">
      <c r="A625" t="s">
        <v>103</v>
      </c>
      <c r="B625" t="s">
        <v>16</v>
      </c>
      <c r="C625" t="s">
        <v>5</v>
      </c>
    </row>
    <row r="626" spans="1:3">
      <c r="A626" t="s">
        <v>103</v>
      </c>
      <c r="B626" t="s">
        <v>17</v>
      </c>
      <c r="C626" t="s">
        <v>5</v>
      </c>
    </row>
    <row r="627" spans="1:3">
      <c r="A627" t="s">
        <v>103</v>
      </c>
      <c r="B627" t="s">
        <v>18</v>
      </c>
      <c r="C627" t="s">
        <v>5</v>
      </c>
    </row>
    <row r="628" spans="1:3">
      <c r="A628" t="s">
        <v>103</v>
      </c>
      <c r="B628" t="s">
        <v>19</v>
      </c>
      <c r="C628" t="s">
        <v>5</v>
      </c>
    </row>
    <row r="629" spans="1:3">
      <c r="A629" t="s">
        <v>103</v>
      </c>
      <c r="B629" t="s">
        <v>20</v>
      </c>
      <c r="C629" t="s">
        <v>5</v>
      </c>
    </row>
    <row r="630" spans="1:3">
      <c r="A630" t="s">
        <v>104</v>
      </c>
      <c r="B630" t="s">
        <v>8</v>
      </c>
      <c r="C630" t="s">
        <v>5</v>
      </c>
    </row>
    <row r="631" spans="1:3">
      <c r="A631" t="s">
        <v>104</v>
      </c>
      <c r="B631" t="s">
        <v>9</v>
      </c>
      <c r="C631" t="s">
        <v>5</v>
      </c>
    </row>
    <row r="632" spans="1:3">
      <c r="A632" t="s">
        <v>105</v>
      </c>
      <c r="B632" t="s">
        <v>12</v>
      </c>
      <c r="C632" t="s">
        <v>5</v>
      </c>
    </row>
    <row r="633" spans="1:3">
      <c r="A633" t="s">
        <v>105</v>
      </c>
      <c r="B633" t="s">
        <v>13</v>
      </c>
      <c r="C633" t="s">
        <v>5</v>
      </c>
    </row>
    <row r="634" spans="1:3">
      <c r="A634" t="s">
        <v>105</v>
      </c>
      <c r="B634" t="s">
        <v>7</v>
      </c>
      <c r="C634" t="s">
        <v>5</v>
      </c>
    </row>
    <row r="635" spans="1:3">
      <c r="A635" t="s">
        <v>105</v>
      </c>
      <c r="B635" t="s">
        <v>14</v>
      </c>
      <c r="C635" t="s">
        <v>5</v>
      </c>
    </row>
    <row r="636" spans="1:3">
      <c r="A636" t="s">
        <v>105</v>
      </c>
      <c r="B636" t="s">
        <v>15</v>
      </c>
      <c r="C636" t="s">
        <v>5</v>
      </c>
    </row>
    <row r="637" spans="1:3">
      <c r="A637" t="s">
        <v>105</v>
      </c>
      <c r="B637" t="s">
        <v>16</v>
      </c>
      <c r="C637" t="s">
        <v>5</v>
      </c>
    </row>
    <row r="638" spans="1:3">
      <c r="A638" t="s">
        <v>105</v>
      </c>
      <c r="B638" t="s">
        <v>17</v>
      </c>
      <c r="C638" t="s">
        <v>5</v>
      </c>
    </row>
    <row r="639" spans="1:3">
      <c r="A639" t="s">
        <v>105</v>
      </c>
      <c r="B639" t="s">
        <v>18</v>
      </c>
      <c r="C639" t="s">
        <v>5</v>
      </c>
    </row>
    <row r="640" spans="1:3">
      <c r="A640" t="s">
        <v>105</v>
      </c>
      <c r="B640" t="s">
        <v>19</v>
      </c>
      <c r="C640" t="s">
        <v>5</v>
      </c>
    </row>
    <row r="641" spans="1:3">
      <c r="A641" t="s">
        <v>105</v>
      </c>
      <c r="B641" t="s">
        <v>20</v>
      </c>
      <c r="C641" t="s">
        <v>5</v>
      </c>
    </row>
    <row r="642" spans="1:3">
      <c r="A642" t="s">
        <v>106</v>
      </c>
      <c r="B642" t="s">
        <v>7</v>
      </c>
      <c r="C642" t="s">
        <v>5</v>
      </c>
    </row>
    <row r="643" spans="1:3">
      <c r="A643" t="s">
        <v>106</v>
      </c>
      <c r="B643" t="s">
        <v>4</v>
      </c>
      <c r="C643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641B-12F5-41E2-A61F-806B35333EA8}">
  <dimension ref="A1:C1000"/>
  <sheetViews>
    <sheetView workbookViewId="0">
      <selection sqref="A1:C1000"/>
    </sheetView>
  </sheetViews>
  <sheetFormatPr defaultRowHeight="15"/>
  <cols>
    <col min="1" max="1" width="55.28515625" bestFit="1" customWidth="1"/>
    <col min="2" max="2" width="12.140625" bestFit="1" customWidth="1"/>
    <col min="3" max="3" width="8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107</v>
      </c>
      <c r="C2" t="s">
        <v>5</v>
      </c>
    </row>
    <row r="3" spans="1:3">
      <c r="A3" t="s">
        <v>3</v>
      </c>
      <c r="B3" t="s">
        <v>108</v>
      </c>
      <c r="C3" t="s">
        <v>5</v>
      </c>
    </row>
    <row r="4" spans="1:3">
      <c r="A4" t="s">
        <v>3</v>
      </c>
      <c r="B4" t="s">
        <v>109</v>
      </c>
      <c r="C4" t="s">
        <v>5</v>
      </c>
    </row>
    <row r="5" spans="1:3">
      <c r="A5" t="s">
        <v>3</v>
      </c>
      <c r="B5" t="s">
        <v>110</v>
      </c>
      <c r="C5" t="s">
        <v>5</v>
      </c>
    </row>
    <row r="6" spans="1:3">
      <c r="A6" t="s">
        <v>3</v>
      </c>
      <c r="B6" t="s">
        <v>111</v>
      </c>
      <c r="C6" t="s">
        <v>5</v>
      </c>
    </row>
    <row r="7" spans="1:3">
      <c r="A7" t="s">
        <v>3</v>
      </c>
      <c r="B7" t="s">
        <v>112</v>
      </c>
      <c r="C7" t="s">
        <v>5</v>
      </c>
    </row>
    <row r="8" spans="1:3">
      <c r="A8" t="s">
        <v>3</v>
      </c>
      <c r="B8" t="s">
        <v>113</v>
      </c>
      <c r="C8" t="s">
        <v>5</v>
      </c>
    </row>
    <row r="9" spans="1:3">
      <c r="A9" t="s">
        <v>3</v>
      </c>
      <c r="B9" t="s">
        <v>114</v>
      </c>
      <c r="C9" t="s">
        <v>5</v>
      </c>
    </row>
    <row r="10" spans="1:3">
      <c r="A10" t="s">
        <v>3</v>
      </c>
      <c r="B10" t="s">
        <v>115</v>
      </c>
      <c r="C10" t="s">
        <v>5</v>
      </c>
    </row>
    <row r="11" spans="1:3">
      <c r="A11" t="s">
        <v>3</v>
      </c>
      <c r="B11" t="s">
        <v>116</v>
      </c>
      <c r="C11" t="s">
        <v>5</v>
      </c>
    </row>
    <row r="12" spans="1:3">
      <c r="A12" t="s">
        <v>3</v>
      </c>
      <c r="B12" t="s">
        <v>117</v>
      </c>
      <c r="C12" t="s">
        <v>5</v>
      </c>
    </row>
    <row r="13" spans="1:3">
      <c r="A13" t="s">
        <v>3</v>
      </c>
      <c r="B13" t="s">
        <v>118</v>
      </c>
      <c r="C13" t="s">
        <v>5</v>
      </c>
    </row>
    <row r="14" spans="1:3">
      <c r="A14" t="s">
        <v>3</v>
      </c>
      <c r="B14" t="s">
        <v>119</v>
      </c>
      <c r="C14" t="s">
        <v>5</v>
      </c>
    </row>
    <row r="15" spans="1:3">
      <c r="A15" t="s">
        <v>3</v>
      </c>
      <c r="B15" t="s">
        <v>120</v>
      </c>
      <c r="C15" t="s">
        <v>5</v>
      </c>
    </row>
    <row r="16" spans="1:3">
      <c r="A16" t="s">
        <v>3</v>
      </c>
      <c r="B16" t="s">
        <v>121</v>
      </c>
      <c r="C16" t="s">
        <v>5</v>
      </c>
    </row>
    <row r="17" spans="1:3">
      <c r="A17" t="s">
        <v>3</v>
      </c>
      <c r="B17" t="s">
        <v>122</v>
      </c>
      <c r="C17" t="s">
        <v>5</v>
      </c>
    </row>
    <row r="18" spans="1:3">
      <c r="A18" t="s">
        <v>3</v>
      </c>
      <c r="B18" t="s">
        <v>123</v>
      </c>
      <c r="C18" t="s">
        <v>5</v>
      </c>
    </row>
    <row r="19" spans="1:3">
      <c r="A19" t="s">
        <v>3</v>
      </c>
      <c r="B19" t="s">
        <v>124</v>
      </c>
      <c r="C19" t="s">
        <v>5</v>
      </c>
    </row>
    <row r="20" spans="1:3">
      <c r="A20" t="s">
        <v>3</v>
      </c>
      <c r="B20" t="s">
        <v>125</v>
      </c>
      <c r="C20" t="s">
        <v>5</v>
      </c>
    </row>
    <row r="21" spans="1:3">
      <c r="A21" t="s">
        <v>3</v>
      </c>
      <c r="B21" t="s">
        <v>126</v>
      </c>
      <c r="C21" t="s">
        <v>5</v>
      </c>
    </row>
    <row r="22" spans="1:3">
      <c r="A22" t="s">
        <v>6</v>
      </c>
      <c r="B22" t="s">
        <v>127</v>
      </c>
      <c r="C22" t="s">
        <v>5</v>
      </c>
    </row>
    <row r="23" spans="1:3">
      <c r="A23" t="s">
        <v>6</v>
      </c>
      <c r="B23" t="s">
        <v>118</v>
      </c>
      <c r="C23" t="s">
        <v>5</v>
      </c>
    </row>
    <row r="24" spans="1:3">
      <c r="A24" t="s">
        <v>6</v>
      </c>
      <c r="B24" t="s">
        <v>128</v>
      </c>
      <c r="C24" t="s">
        <v>5</v>
      </c>
    </row>
    <row r="25" spans="1:3">
      <c r="A25" t="s">
        <v>6</v>
      </c>
      <c r="B25" t="s">
        <v>119</v>
      </c>
      <c r="C25" t="s">
        <v>5</v>
      </c>
    </row>
    <row r="26" spans="1:3">
      <c r="A26" t="s">
        <v>6</v>
      </c>
      <c r="B26" t="s">
        <v>129</v>
      </c>
      <c r="C26" t="s">
        <v>5</v>
      </c>
    </row>
    <row r="27" spans="1:3">
      <c r="A27" t="s">
        <v>6</v>
      </c>
      <c r="B27" t="s">
        <v>120</v>
      </c>
      <c r="C27" t="s">
        <v>5</v>
      </c>
    </row>
    <row r="28" spans="1:3">
      <c r="A28" t="s">
        <v>6</v>
      </c>
      <c r="B28" t="s">
        <v>121</v>
      </c>
      <c r="C28" t="s">
        <v>5</v>
      </c>
    </row>
    <row r="29" spans="1:3">
      <c r="A29" t="s">
        <v>6</v>
      </c>
      <c r="B29" t="s">
        <v>122</v>
      </c>
      <c r="C29" t="s">
        <v>5</v>
      </c>
    </row>
    <row r="30" spans="1:3">
      <c r="A30" t="s">
        <v>6</v>
      </c>
      <c r="B30" t="s">
        <v>130</v>
      </c>
      <c r="C30" t="s">
        <v>5</v>
      </c>
    </row>
    <row r="31" spans="1:3">
      <c r="A31" t="s">
        <v>6</v>
      </c>
      <c r="B31" t="s">
        <v>123</v>
      </c>
      <c r="C31" t="s">
        <v>5</v>
      </c>
    </row>
    <row r="32" spans="1:3">
      <c r="A32" t="s">
        <v>6</v>
      </c>
      <c r="B32" t="s">
        <v>131</v>
      </c>
      <c r="C32" t="s">
        <v>5</v>
      </c>
    </row>
    <row r="33" spans="1:3">
      <c r="A33" t="s">
        <v>6</v>
      </c>
      <c r="B33" t="s">
        <v>132</v>
      </c>
      <c r="C33" t="s">
        <v>5</v>
      </c>
    </row>
    <row r="34" spans="1:3">
      <c r="A34" t="s">
        <v>6</v>
      </c>
      <c r="B34" t="s">
        <v>133</v>
      </c>
      <c r="C34" t="s">
        <v>5</v>
      </c>
    </row>
    <row r="35" spans="1:3">
      <c r="A35" t="s">
        <v>6</v>
      </c>
      <c r="B35" t="s">
        <v>134</v>
      </c>
      <c r="C35" t="s">
        <v>5</v>
      </c>
    </row>
    <row r="36" spans="1:3">
      <c r="A36" t="s">
        <v>6</v>
      </c>
      <c r="B36" t="s">
        <v>135</v>
      </c>
      <c r="C36" t="s">
        <v>5</v>
      </c>
    </row>
    <row r="37" spans="1:3">
      <c r="A37" t="s">
        <v>6</v>
      </c>
      <c r="B37" t="s">
        <v>124</v>
      </c>
      <c r="C37" t="s">
        <v>5</v>
      </c>
    </row>
    <row r="38" spans="1:3">
      <c r="A38" t="s">
        <v>6</v>
      </c>
      <c r="B38" t="s">
        <v>136</v>
      </c>
      <c r="C38" t="s">
        <v>5</v>
      </c>
    </row>
    <row r="39" spans="1:3">
      <c r="A39" t="s">
        <v>6</v>
      </c>
      <c r="B39" t="s">
        <v>137</v>
      </c>
      <c r="C39" t="s">
        <v>5</v>
      </c>
    </row>
    <row r="40" spans="1:3">
      <c r="A40" t="s">
        <v>6</v>
      </c>
      <c r="B40" t="s">
        <v>138</v>
      </c>
      <c r="C40" t="s">
        <v>5</v>
      </c>
    </row>
    <row r="41" spans="1:3">
      <c r="A41" t="s">
        <v>6</v>
      </c>
      <c r="B41" t="s">
        <v>139</v>
      </c>
      <c r="C41" t="s">
        <v>5</v>
      </c>
    </row>
    <row r="42" spans="1:3">
      <c r="A42" t="s">
        <v>6</v>
      </c>
      <c r="B42" t="s">
        <v>140</v>
      </c>
      <c r="C42" t="s">
        <v>5</v>
      </c>
    </row>
    <row r="43" spans="1:3">
      <c r="A43" t="s">
        <v>6</v>
      </c>
      <c r="B43" t="s">
        <v>141</v>
      </c>
      <c r="C43" t="s">
        <v>5</v>
      </c>
    </row>
    <row r="44" spans="1:3">
      <c r="A44" t="s">
        <v>6</v>
      </c>
      <c r="B44" t="s">
        <v>142</v>
      </c>
      <c r="C44" t="s">
        <v>5</v>
      </c>
    </row>
    <row r="45" spans="1:3">
      <c r="A45" t="s">
        <v>6</v>
      </c>
      <c r="B45" t="s">
        <v>143</v>
      </c>
      <c r="C45" t="s">
        <v>5</v>
      </c>
    </row>
    <row r="46" spans="1:3">
      <c r="A46" t="s">
        <v>6</v>
      </c>
      <c r="B46" t="s">
        <v>144</v>
      </c>
      <c r="C46" t="s">
        <v>5</v>
      </c>
    </row>
    <row r="47" spans="1:3">
      <c r="A47" t="s">
        <v>10</v>
      </c>
      <c r="B47" t="s">
        <v>109</v>
      </c>
      <c r="C47" t="s">
        <v>5</v>
      </c>
    </row>
    <row r="48" spans="1:3">
      <c r="A48" t="s">
        <v>10</v>
      </c>
      <c r="B48" t="s">
        <v>114</v>
      </c>
      <c r="C48" t="s">
        <v>5</v>
      </c>
    </row>
    <row r="49" spans="1:3">
      <c r="A49" t="s">
        <v>10</v>
      </c>
      <c r="B49" t="s">
        <v>118</v>
      </c>
      <c r="C49" t="s">
        <v>5</v>
      </c>
    </row>
    <row r="50" spans="1:3">
      <c r="A50" t="s">
        <v>10</v>
      </c>
      <c r="B50" t="s">
        <v>119</v>
      </c>
      <c r="C50" t="s">
        <v>5</v>
      </c>
    </row>
    <row r="51" spans="1:3">
      <c r="A51" t="s">
        <v>10</v>
      </c>
      <c r="B51" t="s">
        <v>120</v>
      </c>
      <c r="C51" t="s">
        <v>5</v>
      </c>
    </row>
    <row r="52" spans="1:3">
      <c r="A52" t="s">
        <v>10</v>
      </c>
      <c r="B52" t="s">
        <v>122</v>
      </c>
      <c r="C52" t="s">
        <v>5</v>
      </c>
    </row>
    <row r="53" spans="1:3">
      <c r="A53" t="s">
        <v>10</v>
      </c>
      <c r="B53" t="s">
        <v>123</v>
      </c>
      <c r="C53" t="s">
        <v>5</v>
      </c>
    </row>
    <row r="54" spans="1:3">
      <c r="A54" t="s">
        <v>10</v>
      </c>
      <c r="B54" t="s">
        <v>132</v>
      </c>
      <c r="C54" t="s">
        <v>5</v>
      </c>
    </row>
    <row r="55" spans="1:3">
      <c r="A55" t="s">
        <v>10</v>
      </c>
      <c r="B55" t="s">
        <v>134</v>
      </c>
      <c r="C55" t="s">
        <v>5</v>
      </c>
    </row>
    <row r="56" spans="1:3">
      <c r="A56" t="s">
        <v>10</v>
      </c>
      <c r="B56" t="s">
        <v>124</v>
      </c>
      <c r="C56" t="s">
        <v>5</v>
      </c>
    </row>
    <row r="57" spans="1:3">
      <c r="A57" t="s">
        <v>10</v>
      </c>
      <c r="B57" t="s">
        <v>145</v>
      </c>
      <c r="C57" t="s">
        <v>5</v>
      </c>
    </row>
    <row r="58" spans="1:3">
      <c r="A58" t="s">
        <v>10</v>
      </c>
      <c r="B58" t="s">
        <v>137</v>
      </c>
      <c r="C58" t="s">
        <v>5</v>
      </c>
    </row>
    <row r="59" spans="1:3">
      <c r="A59" t="s">
        <v>10</v>
      </c>
      <c r="B59" t="s">
        <v>139</v>
      </c>
      <c r="C59" t="s">
        <v>5</v>
      </c>
    </row>
    <row r="60" spans="1:3">
      <c r="A60" t="s">
        <v>10</v>
      </c>
      <c r="B60" t="s">
        <v>143</v>
      </c>
      <c r="C60" t="s">
        <v>5</v>
      </c>
    </row>
    <row r="61" spans="1:3">
      <c r="A61" t="s">
        <v>10</v>
      </c>
      <c r="B61" t="s">
        <v>146</v>
      </c>
      <c r="C61" t="s">
        <v>5</v>
      </c>
    </row>
    <row r="62" spans="1:3">
      <c r="A62" t="s">
        <v>10</v>
      </c>
      <c r="B62" t="s">
        <v>144</v>
      </c>
      <c r="C62" t="s">
        <v>5</v>
      </c>
    </row>
    <row r="63" spans="1:3">
      <c r="A63" t="s">
        <v>10</v>
      </c>
      <c r="B63" t="s">
        <v>147</v>
      </c>
      <c r="C63" t="s">
        <v>5</v>
      </c>
    </row>
    <row r="64" spans="1:3">
      <c r="A64" t="s">
        <v>10</v>
      </c>
      <c r="B64" t="s">
        <v>148</v>
      </c>
      <c r="C64" t="s">
        <v>5</v>
      </c>
    </row>
    <row r="65" spans="1:3">
      <c r="A65" t="s">
        <v>10</v>
      </c>
      <c r="B65" t="s">
        <v>149</v>
      </c>
      <c r="C65" t="s">
        <v>5</v>
      </c>
    </row>
    <row r="66" spans="1:3">
      <c r="A66" t="s">
        <v>11</v>
      </c>
      <c r="B66" t="s">
        <v>150</v>
      </c>
      <c r="C66" t="s">
        <v>5</v>
      </c>
    </row>
    <row r="67" spans="1:3">
      <c r="A67" t="s">
        <v>11</v>
      </c>
      <c r="B67" t="s">
        <v>151</v>
      </c>
      <c r="C67" t="s">
        <v>5</v>
      </c>
    </row>
    <row r="68" spans="1:3">
      <c r="A68" t="s">
        <v>11</v>
      </c>
      <c r="B68" t="s">
        <v>112</v>
      </c>
      <c r="C68" t="s">
        <v>5</v>
      </c>
    </row>
    <row r="69" spans="1:3">
      <c r="A69" t="s">
        <v>11</v>
      </c>
      <c r="B69" t="s">
        <v>127</v>
      </c>
      <c r="C69" t="s">
        <v>5</v>
      </c>
    </row>
    <row r="70" spans="1:3">
      <c r="A70" t="s">
        <v>11</v>
      </c>
      <c r="B70" t="s">
        <v>114</v>
      </c>
      <c r="C70" t="s">
        <v>5</v>
      </c>
    </row>
    <row r="71" spans="1:3">
      <c r="A71" t="s">
        <v>11</v>
      </c>
      <c r="B71" t="s">
        <v>152</v>
      </c>
      <c r="C71" t="s">
        <v>5</v>
      </c>
    </row>
    <row r="72" spans="1:3">
      <c r="A72" t="s">
        <v>11</v>
      </c>
      <c r="B72" t="s">
        <v>116</v>
      </c>
      <c r="C72" t="s">
        <v>5</v>
      </c>
    </row>
    <row r="73" spans="1:3">
      <c r="A73" t="s">
        <v>11</v>
      </c>
      <c r="B73" t="s">
        <v>153</v>
      </c>
      <c r="C73" t="s">
        <v>5</v>
      </c>
    </row>
    <row r="74" spans="1:3">
      <c r="A74" t="s">
        <v>11</v>
      </c>
      <c r="B74" t="s">
        <v>154</v>
      </c>
      <c r="C74" t="s">
        <v>5</v>
      </c>
    </row>
    <row r="75" spans="1:3">
      <c r="A75" t="s">
        <v>11</v>
      </c>
      <c r="B75" t="s">
        <v>121</v>
      </c>
      <c r="C75" t="s">
        <v>5</v>
      </c>
    </row>
    <row r="76" spans="1:3">
      <c r="A76" t="s">
        <v>11</v>
      </c>
      <c r="B76" t="s">
        <v>130</v>
      </c>
      <c r="C76" t="s">
        <v>5</v>
      </c>
    </row>
    <row r="77" spans="1:3">
      <c r="A77" t="s">
        <v>11</v>
      </c>
      <c r="B77" t="s">
        <v>123</v>
      </c>
      <c r="C77" t="s">
        <v>5</v>
      </c>
    </row>
    <row r="78" spans="1:3">
      <c r="A78" t="s">
        <v>11</v>
      </c>
      <c r="B78" t="s">
        <v>131</v>
      </c>
      <c r="C78" t="s">
        <v>5</v>
      </c>
    </row>
    <row r="79" spans="1:3">
      <c r="A79" t="s">
        <v>11</v>
      </c>
      <c r="B79" t="s">
        <v>132</v>
      </c>
      <c r="C79" t="s">
        <v>5</v>
      </c>
    </row>
    <row r="80" spans="1:3">
      <c r="A80" t="s">
        <v>11</v>
      </c>
      <c r="B80" t="s">
        <v>133</v>
      </c>
      <c r="C80" t="s">
        <v>5</v>
      </c>
    </row>
    <row r="81" spans="1:3">
      <c r="A81" t="s">
        <v>11</v>
      </c>
      <c r="B81" t="s">
        <v>135</v>
      </c>
      <c r="C81" t="s">
        <v>5</v>
      </c>
    </row>
    <row r="82" spans="1:3">
      <c r="A82" t="s">
        <v>11</v>
      </c>
      <c r="B82" t="s">
        <v>124</v>
      </c>
      <c r="C82" t="s">
        <v>5</v>
      </c>
    </row>
    <row r="83" spans="1:3">
      <c r="A83" t="s">
        <v>11</v>
      </c>
      <c r="B83" t="s">
        <v>136</v>
      </c>
      <c r="C83" t="s">
        <v>5</v>
      </c>
    </row>
    <row r="84" spans="1:3">
      <c r="A84" t="s">
        <v>11</v>
      </c>
      <c r="B84" t="s">
        <v>138</v>
      </c>
      <c r="C84" t="s">
        <v>5</v>
      </c>
    </row>
    <row r="85" spans="1:3">
      <c r="A85" t="s">
        <v>11</v>
      </c>
      <c r="B85" t="s">
        <v>139</v>
      </c>
      <c r="C85" t="s">
        <v>5</v>
      </c>
    </row>
    <row r="86" spans="1:3">
      <c r="A86" t="s">
        <v>11</v>
      </c>
      <c r="B86" t="s">
        <v>140</v>
      </c>
      <c r="C86" t="s">
        <v>5</v>
      </c>
    </row>
    <row r="87" spans="1:3">
      <c r="A87" t="s">
        <v>11</v>
      </c>
      <c r="B87" t="s">
        <v>141</v>
      </c>
      <c r="C87" t="s">
        <v>5</v>
      </c>
    </row>
    <row r="88" spans="1:3">
      <c r="A88" t="s">
        <v>11</v>
      </c>
      <c r="B88" t="s">
        <v>142</v>
      </c>
      <c r="C88" t="s">
        <v>5</v>
      </c>
    </row>
    <row r="89" spans="1:3">
      <c r="A89" t="s">
        <v>11</v>
      </c>
      <c r="B89" t="s">
        <v>143</v>
      </c>
      <c r="C89" t="s">
        <v>5</v>
      </c>
    </row>
    <row r="90" spans="1:3">
      <c r="A90" t="s">
        <v>11</v>
      </c>
      <c r="B90" t="s">
        <v>155</v>
      </c>
      <c r="C90" t="s">
        <v>5</v>
      </c>
    </row>
    <row r="91" spans="1:3">
      <c r="A91" t="s">
        <v>11</v>
      </c>
      <c r="B91" t="s">
        <v>156</v>
      </c>
      <c r="C91" t="s">
        <v>5</v>
      </c>
    </row>
    <row r="92" spans="1:3">
      <c r="A92" t="s">
        <v>11</v>
      </c>
      <c r="B92" t="s">
        <v>157</v>
      </c>
      <c r="C92" t="s">
        <v>5</v>
      </c>
    </row>
    <row r="93" spans="1:3">
      <c r="A93" t="s">
        <v>158</v>
      </c>
      <c r="B93" t="s">
        <v>159</v>
      </c>
      <c r="C93" t="s">
        <v>5</v>
      </c>
    </row>
    <row r="94" spans="1:3">
      <c r="A94" t="s">
        <v>158</v>
      </c>
      <c r="B94" t="s">
        <v>160</v>
      </c>
      <c r="C94" t="s">
        <v>5</v>
      </c>
    </row>
    <row r="95" spans="1:3">
      <c r="A95" t="s">
        <v>158</v>
      </c>
      <c r="B95" t="s">
        <v>161</v>
      </c>
      <c r="C95" t="s">
        <v>5</v>
      </c>
    </row>
    <row r="96" spans="1:3">
      <c r="A96" t="s">
        <v>21</v>
      </c>
      <c r="B96" t="s">
        <v>127</v>
      </c>
      <c r="C96" t="s">
        <v>5</v>
      </c>
    </row>
    <row r="97" spans="1:3">
      <c r="A97" t="s">
        <v>21</v>
      </c>
      <c r="B97" t="s">
        <v>114</v>
      </c>
      <c r="C97" t="s">
        <v>5</v>
      </c>
    </row>
    <row r="98" spans="1:3">
      <c r="A98" t="s">
        <v>21</v>
      </c>
      <c r="B98" t="s">
        <v>154</v>
      </c>
      <c r="C98" t="s">
        <v>5</v>
      </c>
    </row>
    <row r="99" spans="1:3">
      <c r="A99" t="s">
        <v>21</v>
      </c>
      <c r="B99" t="s">
        <v>118</v>
      </c>
      <c r="C99" t="s">
        <v>5</v>
      </c>
    </row>
    <row r="100" spans="1:3">
      <c r="A100" t="s">
        <v>21</v>
      </c>
      <c r="B100" t="s">
        <v>129</v>
      </c>
      <c r="C100" t="s">
        <v>5</v>
      </c>
    </row>
    <row r="101" spans="1:3">
      <c r="A101" t="s">
        <v>21</v>
      </c>
      <c r="B101" t="s">
        <v>120</v>
      </c>
      <c r="C101" t="s">
        <v>5</v>
      </c>
    </row>
    <row r="102" spans="1:3">
      <c r="A102" t="s">
        <v>21</v>
      </c>
      <c r="B102" t="s">
        <v>121</v>
      </c>
      <c r="C102" t="s">
        <v>5</v>
      </c>
    </row>
    <row r="103" spans="1:3">
      <c r="A103" t="s">
        <v>21</v>
      </c>
      <c r="B103" t="s">
        <v>122</v>
      </c>
      <c r="C103" t="s">
        <v>5</v>
      </c>
    </row>
    <row r="104" spans="1:3">
      <c r="A104" t="s">
        <v>21</v>
      </c>
      <c r="B104" t="s">
        <v>130</v>
      </c>
      <c r="C104" t="s">
        <v>5</v>
      </c>
    </row>
    <row r="105" spans="1:3">
      <c r="A105" t="s">
        <v>21</v>
      </c>
      <c r="B105" t="s">
        <v>123</v>
      </c>
      <c r="C105" t="s">
        <v>5</v>
      </c>
    </row>
    <row r="106" spans="1:3">
      <c r="A106" t="s">
        <v>21</v>
      </c>
      <c r="B106" t="s">
        <v>133</v>
      </c>
      <c r="C106" t="s">
        <v>5</v>
      </c>
    </row>
    <row r="107" spans="1:3">
      <c r="A107" t="s">
        <v>21</v>
      </c>
      <c r="B107" t="s">
        <v>134</v>
      </c>
      <c r="C107" t="s">
        <v>5</v>
      </c>
    </row>
    <row r="108" spans="1:3">
      <c r="A108" t="s">
        <v>21</v>
      </c>
      <c r="B108" t="s">
        <v>135</v>
      </c>
      <c r="C108" t="s">
        <v>5</v>
      </c>
    </row>
    <row r="109" spans="1:3">
      <c r="A109" t="s">
        <v>21</v>
      </c>
      <c r="B109" t="s">
        <v>124</v>
      </c>
      <c r="C109" t="s">
        <v>5</v>
      </c>
    </row>
    <row r="110" spans="1:3">
      <c r="A110" t="s">
        <v>21</v>
      </c>
      <c r="B110" t="s">
        <v>162</v>
      </c>
      <c r="C110" t="s">
        <v>5</v>
      </c>
    </row>
    <row r="111" spans="1:3">
      <c r="A111" t="s">
        <v>21</v>
      </c>
      <c r="B111" t="s">
        <v>145</v>
      </c>
      <c r="C111" t="s">
        <v>5</v>
      </c>
    </row>
    <row r="112" spans="1:3">
      <c r="A112" t="s">
        <v>21</v>
      </c>
      <c r="B112" t="s">
        <v>138</v>
      </c>
      <c r="C112" t="s">
        <v>5</v>
      </c>
    </row>
    <row r="113" spans="1:3">
      <c r="A113" t="s">
        <v>21</v>
      </c>
      <c r="B113" t="s">
        <v>139</v>
      </c>
      <c r="C113" t="s">
        <v>5</v>
      </c>
    </row>
    <row r="114" spans="1:3">
      <c r="A114" t="s">
        <v>21</v>
      </c>
      <c r="B114" t="s">
        <v>142</v>
      </c>
      <c r="C114" t="s">
        <v>5</v>
      </c>
    </row>
    <row r="115" spans="1:3">
      <c r="A115" t="s">
        <v>21</v>
      </c>
      <c r="B115" t="s">
        <v>143</v>
      </c>
      <c r="C115" t="s">
        <v>5</v>
      </c>
    </row>
    <row r="116" spans="1:3">
      <c r="A116" t="s">
        <v>21</v>
      </c>
      <c r="B116" t="s">
        <v>156</v>
      </c>
      <c r="C116" t="s">
        <v>5</v>
      </c>
    </row>
    <row r="117" spans="1:3">
      <c r="A117" t="s">
        <v>21</v>
      </c>
      <c r="B117" t="s">
        <v>163</v>
      </c>
      <c r="C117" t="s">
        <v>5</v>
      </c>
    </row>
    <row r="118" spans="1:3">
      <c r="A118" t="s">
        <v>164</v>
      </c>
      <c r="B118" t="s">
        <v>154</v>
      </c>
      <c r="C118" t="s">
        <v>5</v>
      </c>
    </row>
    <row r="119" spans="1:3">
      <c r="A119" t="s">
        <v>164</v>
      </c>
      <c r="B119" t="s">
        <v>165</v>
      </c>
      <c r="C119" t="s">
        <v>5</v>
      </c>
    </row>
    <row r="120" spans="1:3">
      <c r="A120" t="s">
        <v>164</v>
      </c>
      <c r="B120" t="s">
        <v>118</v>
      </c>
      <c r="C120" t="s">
        <v>5</v>
      </c>
    </row>
    <row r="121" spans="1:3">
      <c r="A121" t="s">
        <v>164</v>
      </c>
      <c r="B121" t="s">
        <v>128</v>
      </c>
      <c r="C121" t="s">
        <v>5</v>
      </c>
    </row>
    <row r="122" spans="1:3">
      <c r="A122" t="s">
        <v>164</v>
      </c>
      <c r="B122" t="s">
        <v>119</v>
      </c>
      <c r="C122" t="s">
        <v>5</v>
      </c>
    </row>
    <row r="123" spans="1:3">
      <c r="A123" t="s">
        <v>164</v>
      </c>
      <c r="B123" t="s">
        <v>129</v>
      </c>
      <c r="C123" t="s">
        <v>5</v>
      </c>
    </row>
    <row r="124" spans="1:3">
      <c r="A124" t="s">
        <v>164</v>
      </c>
      <c r="B124" t="s">
        <v>120</v>
      </c>
      <c r="C124" t="s">
        <v>5</v>
      </c>
    </row>
    <row r="125" spans="1:3">
      <c r="A125" t="s">
        <v>164</v>
      </c>
      <c r="B125" t="s">
        <v>121</v>
      </c>
      <c r="C125" t="s">
        <v>5</v>
      </c>
    </row>
    <row r="126" spans="1:3">
      <c r="A126" t="s">
        <v>164</v>
      </c>
      <c r="B126" t="s">
        <v>122</v>
      </c>
      <c r="C126" t="s">
        <v>5</v>
      </c>
    </row>
    <row r="127" spans="1:3">
      <c r="A127" t="s">
        <v>164</v>
      </c>
      <c r="B127" t="s">
        <v>130</v>
      </c>
      <c r="C127" t="s">
        <v>5</v>
      </c>
    </row>
    <row r="128" spans="1:3">
      <c r="A128" t="s">
        <v>164</v>
      </c>
      <c r="B128" t="s">
        <v>123</v>
      </c>
      <c r="C128" t="s">
        <v>5</v>
      </c>
    </row>
    <row r="129" spans="1:3">
      <c r="A129" t="s">
        <v>164</v>
      </c>
      <c r="B129" t="s">
        <v>131</v>
      </c>
      <c r="C129" t="s">
        <v>5</v>
      </c>
    </row>
    <row r="130" spans="1:3">
      <c r="A130" t="s">
        <v>164</v>
      </c>
      <c r="B130" t="s">
        <v>132</v>
      </c>
      <c r="C130" t="s">
        <v>5</v>
      </c>
    </row>
    <row r="131" spans="1:3">
      <c r="A131" t="s">
        <v>164</v>
      </c>
      <c r="B131" t="s">
        <v>133</v>
      </c>
      <c r="C131" t="s">
        <v>5</v>
      </c>
    </row>
    <row r="132" spans="1:3">
      <c r="A132" t="s">
        <v>164</v>
      </c>
      <c r="B132" t="s">
        <v>134</v>
      </c>
      <c r="C132" t="s">
        <v>5</v>
      </c>
    </row>
    <row r="133" spans="1:3">
      <c r="A133" t="s">
        <v>164</v>
      </c>
      <c r="B133" t="s">
        <v>135</v>
      </c>
      <c r="C133" t="s">
        <v>5</v>
      </c>
    </row>
    <row r="134" spans="1:3">
      <c r="A134" t="s">
        <v>164</v>
      </c>
      <c r="B134" t="s">
        <v>124</v>
      </c>
      <c r="C134" t="s">
        <v>5</v>
      </c>
    </row>
    <row r="135" spans="1:3">
      <c r="A135" t="s">
        <v>164</v>
      </c>
      <c r="B135" t="s">
        <v>162</v>
      </c>
      <c r="C135" t="s">
        <v>5</v>
      </c>
    </row>
    <row r="136" spans="1:3">
      <c r="A136" t="s">
        <v>164</v>
      </c>
      <c r="B136" t="s">
        <v>145</v>
      </c>
      <c r="C136" t="s">
        <v>5</v>
      </c>
    </row>
    <row r="137" spans="1:3">
      <c r="A137" t="s">
        <v>164</v>
      </c>
      <c r="B137" t="s">
        <v>136</v>
      </c>
      <c r="C137" t="s">
        <v>5</v>
      </c>
    </row>
    <row r="138" spans="1:3">
      <c r="A138" t="s">
        <v>164</v>
      </c>
      <c r="B138" t="s">
        <v>137</v>
      </c>
      <c r="C138" t="s">
        <v>5</v>
      </c>
    </row>
    <row r="139" spans="1:3">
      <c r="A139" t="s">
        <v>164</v>
      </c>
      <c r="B139" t="s">
        <v>138</v>
      </c>
      <c r="C139" t="s">
        <v>5</v>
      </c>
    </row>
    <row r="140" spans="1:3">
      <c r="A140" t="s">
        <v>164</v>
      </c>
      <c r="B140" t="s">
        <v>139</v>
      </c>
      <c r="C140" t="s">
        <v>5</v>
      </c>
    </row>
    <row r="141" spans="1:3">
      <c r="A141" t="s">
        <v>164</v>
      </c>
      <c r="B141" t="s">
        <v>140</v>
      </c>
      <c r="C141" t="s">
        <v>5</v>
      </c>
    </row>
    <row r="142" spans="1:3">
      <c r="A142" t="s">
        <v>164</v>
      </c>
      <c r="B142" t="s">
        <v>141</v>
      </c>
      <c r="C142" t="s">
        <v>5</v>
      </c>
    </row>
    <row r="143" spans="1:3">
      <c r="A143" t="s">
        <v>164</v>
      </c>
      <c r="B143" t="s">
        <v>142</v>
      </c>
      <c r="C143" t="s">
        <v>5</v>
      </c>
    </row>
    <row r="144" spans="1:3">
      <c r="A144" t="s">
        <v>164</v>
      </c>
      <c r="B144" t="s">
        <v>143</v>
      </c>
      <c r="C144" t="s">
        <v>5</v>
      </c>
    </row>
    <row r="145" spans="1:3">
      <c r="A145" t="s">
        <v>164</v>
      </c>
      <c r="B145" t="s">
        <v>166</v>
      </c>
      <c r="C145" t="s">
        <v>5</v>
      </c>
    </row>
    <row r="146" spans="1:3">
      <c r="A146" t="s">
        <v>164</v>
      </c>
      <c r="B146" t="s">
        <v>125</v>
      </c>
      <c r="C146" t="s">
        <v>5</v>
      </c>
    </row>
    <row r="147" spans="1:3">
      <c r="A147" t="s">
        <v>164</v>
      </c>
      <c r="B147" t="s">
        <v>167</v>
      </c>
      <c r="C147" t="s">
        <v>5</v>
      </c>
    </row>
    <row r="148" spans="1:3">
      <c r="A148" t="s">
        <v>164</v>
      </c>
      <c r="B148" t="s">
        <v>126</v>
      </c>
      <c r="C148" t="s">
        <v>5</v>
      </c>
    </row>
    <row r="149" spans="1:3">
      <c r="A149" t="s">
        <v>164</v>
      </c>
      <c r="B149" t="s">
        <v>168</v>
      </c>
      <c r="C149" t="s">
        <v>5</v>
      </c>
    </row>
    <row r="150" spans="1:3">
      <c r="A150" t="s">
        <v>164</v>
      </c>
      <c r="B150" t="s">
        <v>169</v>
      </c>
      <c r="C150" t="s">
        <v>5</v>
      </c>
    </row>
    <row r="151" spans="1:3">
      <c r="A151" t="s">
        <v>164</v>
      </c>
      <c r="B151" t="s">
        <v>170</v>
      </c>
      <c r="C151" t="s">
        <v>5</v>
      </c>
    </row>
    <row r="152" spans="1:3">
      <c r="A152" t="s">
        <v>164</v>
      </c>
      <c r="B152" t="s">
        <v>146</v>
      </c>
      <c r="C152" t="s">
        <v>5</v>
      </c>
    </row>
    <row r="153" spans="1:3">
      <c r="A153" t="s">
        <v>164</v>
      </c>
      <c r="B153" t="s">
        <v>155</v>
      </c>
      <c r="C153" t="s">
        <v>5</v>
      </c>
    </row>
    <row r="154" spans="1:3">
      <c r="A154" t="s">
        <v>164</v>
      </c>
      <c r="B154" t="s">
        <v>144</v>
      </c>
      <c r="C154" t="s">
        <v>5</v>
      </c>
    </row>
    <row r="155" spans="1:3">
      <c r="A155" t="s">
        <v>164</v>
      </c>
      <c r="B155" t="s">
        <v>147</v>
      </c>
      <c r="C155" t="s">
        <v>5</v>
      </c>
    </row>
    <row r="156" spans="1:3">
      <c r="A156" t="s">
        <v>24</v>
      </c>
      <c r="B156" t="s">
        <v>150</v>
      </c>
      <c r="C156" t="s">
        <v>5</v>
      </c>
    </row>
    <row r="157" spans="1:3">
      <c r="A157" t="s">
        <v>24</v>
      </c>
      <c r="B157" t="s">
        <v>107</v>
      </c>
      <c r="C157" t="s">
        <v>5</v>
      </c>
    </row>
    <row r="158" spans="1:3">
      <c r="A158" t="s">
        <v>24</v>
      </c>
      <c r="B158" t="s">
        <v>151</v>
      </c>
      <c r="C158" t="s">
        <v>5</v>
      </c>
    </row>
    <row r="159" spans="1:3">
      <c r="A159" t="s">
        <v>24</v>
      </c>
      <c r="B159" t="s">
        <v>112</v>
      </c>
      <c r="C159" t="s">
        <v>5</v>
      </c>
    </row>
    <row r="160" spans="1:3">
      <c r="A160" t="s">
        <v>24</v>
      </c>
      <c r="B160" t="s">
        <v>127</v>
      </c>
      <c r="C160" t="s">
        <v>5</v>
      </c>
    </row>
    <row r="161" spans="1:3">
      <c r="A161" t="s">
        <v>24</v>
      </c>
      <c r="B161" t="s">
        <v>114</v>
      </c>
      <c r="C161" t="s">
        <v>5</v>
      </c>
    </row>
    <row r="162" spans="1:3">
      <c r="A162" t="s">
        <v>24</v>
      </c>
      <c r="B162" t="s">
        <v>152</v>
      </c>
      <c r="C162" t="s">
        <v>5</v>
      </c>
    </row>
    <row r="163" spans="1:3">
      <c r="A163" t="s">
        <v>24</v>
      </c>
      <c r="B163" t="s">
        <v>116</v>
      </c>
      <c r="C163" t="s">
        <v>5</v>
      </c>
    </row>
    <row r="164" spans="1:3">
      <c r="A164" t="s">
        <v>24</v>
      </c>
      <c r="B164" t="s">
        <v>153</v>
      </c>
      <c r="C164" t="s">
        <v>5</v>
      </c>
    </row>
    <row r="165" spans="1:3">
      <c r="A165" t="s">
        <v>24</v>
      </c>
      <c r="B165" t="s">
        <v>117</v>
      </c>
      <c r="C165" t="s">
        <v>5</v>
      </c>
    </row>
    <row r="166" spans="1:3">
      <c r="A166" t="s">
        <v>24</v>
      </c>
      <c r="B166" t="s">
        <v>154</v>
      </c>
      <c r="C166" t="s">
        <v>5</v>
      </c>
    </row>
    <row r="167" spans="1:3">
      <c r="A167" t="s">
        <v>24</v>
      </c>
      <c r="B167" t="s">
        <v>118</v>
      </c>
      <c r="C167" t="s">
        <v>5</v>
      </c>
    </row>
    <row r="168" spans="1:3">
      <c r="A168" t="s">
        <v>24</v>
      </c>
      <c r="B168" t="s">
        <v>121</v>
      </c>
      <c r="C168" t="s">
        <v>5</v>
      </c>
    </row>
    <row r="169" spans="1:3">
      <c r="A169" t="s">
        <v>24</v>
      </c>
      <c r="B169" t="s">
        <v>122</v>
      </c>
      <c r="C169" t="s">
        <v>5</v>
      </c>
    </row>
    <row r="170" spans="1:3">
      <c r="A170" t="s">
        <v>24</v>
      </c>
      <c r="B170" t="s">
        <v>130</v>
      </c>
      <c r="C170" t="s">
        <v>5</v>
      </c>
    </row>
    <row r="171" spans="1:3">
      <c r="A171" t="s">
        <v>24</v>
      </c>
      <c r="B171" t="s">
        <v>123</v>
      </c>
      <c r="C171" t="s">
        <v>5</v>
      </c>
    </row>
    <row r="172" spans="1:3">
      <c r="A172" t="s">
        <v>24</v>
      </c>
      <c r="B172" t="s">
        <v>131</v>
      </c>
      <c r="C172" t="s">
        <v>5</v>
      </c>
    </row>
    <row r="173" spans="1:3">
      <c r="A173" t="s">
        <v>24</v>
      </c>
      <c r="B173" t="s">
        <v>132</v>
      </c>
      <c r="C173" t="s">
        <v>5</v>
      </c>
    </row>
    <row r="174" spans="1:3">
      <c r="A174" t="s">
        <v>24</v>
      </c>
      <c r="B174" t="s">
        <v>133</v>
      </c>
      <c r="C174" t="s">
        <v>5</v>
      </c>
    </row>
    <row r="175" spans="1:3">
      <c r="A175" t="s">
        <v>24</v>
      </c>
      <c r="B175" t="s">
        <v>134</v>
      </c>
      <c r="C175" t="s">
        <v>5</v>
      </c>
    </row>
    <row r="176" spans="1:3">
      <c r="A176" t="s">
        <v>24</v>
      </c>
      <c r="B176" t="s">
        <v>135</v>
      </c>
      <c r="C176" t="s">
        <v>5</v>
      </c>
    </row>
    <row r="177" spans="1:3">
      <c r="A177" t="s">
        <v>24</v>
      </c>
      <c r="B177" t="s">
        <v>124</v>
      </c>
      <c r="C177" t="s">
        <v>5</v>
      </c>
    </row>
    <row r="178" spans="1:3">
      <c r="A178" t="s">
        <v>24</v>
      </c>
      <c r="B178" t="s">
        <v>136</v>
      </c>
      <c r="C178" t="s">
        <v>5</v>
      </c>
    </row>
    <row r="179" spans="1:3">
      <c r="A179" t="s">
        <v>24</v>
      </c>
      <c r="B179" t="s">
        <v>137</v>
      </c>
      <c r="C179" t="s">
        <v>5</v>
      </c>
    </row>
    <row r="180" spans="1:3">
      <c r="A180" t="s">
        <v>24</v>
      </c>
      <c r="B180" t="s">
        <v>138</v>
      </c>
      <c r="C180" t="s">
        <v>5</v>
      </c>
    </row>
    <row r="181" spans="1:3">
      <c r="A181" t="s">
        <v>24</v>
      </c>
      <c r="B181" t="s">
        <v>139</v>
      </c>
      <c r="C181" t="s">
        <v>5</v>
      </c>
    </row>
    <row r="182" spans="1:3">
      <c r="A182" t="s">
        <v>24</v>
      </c>
      <c r="B182" t="s">
        <v>140</v>
      </c>
      <c r="C182" t="s">
        <v>5</v>
      </c>
    </row>
    <row r="183" spans="1:3">
      <c r="A183" t="s">
        <v>24</v>
      </c>
      <c r="B183" t="s">
        <v>141</v>
      </c>
      <c r="C183" t="s">
        <v>5</v>
      </c>
    </row>
    <row r="184" spans="1:3">
      <c r="A184" t="s">
        <v>24</v>
      </c>
      <c r="B184" t="s">
        <v>142</v>
      </c>
      <c r="C184" t="s">
        <v>5</v>
      </c>
    </row>
    <row r="185" spans="1:3">
      <c r="A185" t="s">
        <v>24</v>
      </c>
      <c r="B185" t="s">
        <v>143</v>
      </c>
      <c r="C185" t="s">
        <v>5</v>
      </c>
    </row>
    <row r="186" spans="1:3">
      <c r="A186" t="s">
        <v>24</v>
      </c>
      <c r="B186" t="s">
        <v>155</v>
      </c>
      <c r="C186" t="s">
        <v>5</v>
      </c>
    </row>
    <row r="187" spans="1:3">
      <c r="A187" t="s">
        <v>24</v>
      </c>
      <c r="B187" t="s">
        <v>144</v>
      </c>
      <c r="C187" t="s">
        <v>5</v>
      </c>
    </row>
    <row r="188" spans="1:3">
      <c r="A188" t="s">
        <v>34</v>
      </c>
      <c r="B188" t="s">
        <v>160</v>
      </c>
      <c r="C188" t="s">
        <v>5</v>
      </c>
    </row>
    <row r="189" spans="1:3">
      <c r="A189" t="s">
        <v>34</v>
      </c>
      <c r="B189" t="s">
        <v>150</v>
      </c>
      <c r="C189" t="s">
        <v>5</v>
      </c>
    </row>
    <row r="190" spans="1:3">
      <c r="A190" t="s">
        <v>34</v>
      </c>
      <c r="B190" t="s">
        <v>107</v>
      </c>
      <c r="C190" t="s">
        <v>5</v>
      </c>
    </row>
    <row r="191" spans="1:3">
      <c r="A191" t="s">
        <v>34</v>
      </c>
      <c r="B191" t="s">
        <v>151</v>
      </c>
      <c r="C191" t="s">
        <v>5</v>
      </c>
    </row>
    <row r="192" spans="1:3">
      <c r="A192" t="s">
        <v>34</v>
      </c>
      <c r="B192" t="s">
        <v>112</v>
      </c>
      <c r="C192" t="s">
        <v>5</v>
      </c>
    </row>
    <row r="193" spans="1:3">
      <c r="A193" t="s">
        <v>34</v>
      </c>
      <c r="B193" t="s">
        <v>127</v>
      </c>
      <c r="C193" t="s">
        <v>5</v>
      </c>
    </row>
    <row r="194" spans="1:3">
      <c r="A194" t="s">
        <v>34</v>
      </c>
      <c r="B194" t="s">
        <v>114</v>
      </c>
      <c r="C194" t="s">
        <v>5</v>
      </c>
    </row>
    <row r="195" spans="1:3">
      <c r="A195" t="s">
        <v>34</v>
      </c>
      <c r="B195" t="s">
        <v>153</v>
      </c>
      <c r="C195" t="s">
        <v>5</v>
      </c>
    </row>
    <row r="196" spans="1:3">
      <c r="A196" t="s">
        <v>34</v>
      </c>
      <c r="B196" t="s">
        <v>118</v>
      </c>
      <c r="C196" t="s">
        <v>5</v>
      </c>
    </row>
    <row r="197" spans="1:3">
      <c r="A197" t="s">
        <v>34</v>
      </c>
      <c r="B197" t="s">
        <v>119</v>
      </c>
      <c r="C197" t="s">
        <v>5</v>
      </c>
    </row>
    <row r="198" spans="1:3">
      <c r="A198" t="s">
        <v>34</v>
      </c>
      <c r="B198" t="s">
        <v>120</v>
      </c>
      <c r="C198" t="s">
        <v>5</v>
      </c>
    </row>
    <row r="199" spans="1:3">
      <c r="A199" t="s">
        <v>34</v>
      </c>
      <c r="B199" t="s">
        <v>121</v>
      </c>
      <c r="C199" t="s">
        <v>5</v>
      </c>
    </row>
    <row r="200" spans="1:3">
      <c r="A200" t="s">
        <v>34</v>
      </c>
      <c r="B200" t="s">
        <v>122</v>
      </c>
      <c r="C200" t="s">
        <v>5</v>
      </c>
    </row>
    <row r="201" spans="1:3">
      <c r="A201" t="s">
        <v>34</v>
      </c>
      <c r="B201" t="s">
        <v>130</v>
      </c>
      <c r="C201" t="s">
        <v>5</v>
      </c>
    </row>
    <row r="202" spans="1:3">
      <c r="A202" t="s">
        <v>34</v>
      </c>
      <c r="B202" t="s">
        <v>134</v>
      </c>
      <c r="C202" t="s">
        <v>5</v>
      </c>
    </row>
    <row r="203" spans="1:3">
      <c r="A203" t="s">
        <v>34</v>
      </c>
      <c r="B203" t="s">
        <v>135</v>
      </c>
      <c r="C203" t="s">
        <v>5</v>
      </c>
    </row>
    <row r="204" spans="1:3">
      <c r="A204" t="s">
        <v>34</v>
      </c>
      <c r="B204" t="s">
        <v>137</v>
      </c>
      <c r="C204" t="s">
        <v>5</v>
      </c>
    </row>
    <row r="205" spans="1:3">
      <c r="A205" t="s">
        <v>34</v>
      </c>
      <c r="B205" t="s">
        <v>138</v>
      </c>
      <c r="C205" t="s">
        <v>5</v>
      </c>
    </row>
    <row r="206" spans="1:3">
      <c r="A206" t="s">
        <v>34</v>
      </c>
      <c r="B206" t="s">
        <v>140</v>
      </c>
      <c r="C206" t="s">
        <v>5</v>
      </c>
    </row>
    <row r="207" spans="1:3">
      <c r="A207" t="s">
        <v>34</v>
      </c>
      <c r="B207" t="s">
        <v>141</v>
      </c>
      <c r="C207" t="s">
        <v>5</v>
      </c>
    </row>
    <row r="208" spans="1:3">
      <c r="A208" t="s">
        <v>34</v>
      </c>
      <c r="B208" t="s">
        <v>142</v>
      </c>
      <c r="C208" t="s">
        <v>5</v>
      </c>
    </row>
    <row r="209" spans="1:3">
      <c r="A209" t="s">
        <v>34</v>
      </c>
      <c r="B209" t="s">
        <v>143</v>
      </c>
      <c r="C209" t="s">
        <v>5</v>
      </c>
    </row>
    <row r="210" spans="1:3">
      <c r="A210" t="s">
        <v>34</v>
      </c>
      <c r="B210" t="s">
        <v>155</v>
      </c>
      <c r="C210" t="s">
        <v>5</v>
      </c>
    </row>
    <row r="211" spans="1:3">
      <c r="A211" t="s">
        <v>34</v>
      </c>
      <c r="B211" t="s">
        <v>144</v>
      </c>
      <c r="C211" t="s">
        <v>5</v>
      </c>
    </row>
    <row r="212" spans="1:3">
      <c r="A212" t="s">
        <v>35</v>
      </c>
      <c r="B212" t="s">
        <v>107</v>
      </c>
      <c r="C212" t="s">
        <v>5</v>
      </c>
    </row>
    <row r="213" spans="1:3">
      <c r="A213" t="s">
        <v>35</v>
      </c>
      <c r="B213" t="s">
        <v>112</v>
      </c>
      <c r="C213" t="s">
        <v>5</v>
      </c>
    </row>
    <row r="214" spans="1:3">
      <c r="A214" t="s">
        <v>35</v>
      </c>
      <c r="B214" t="s">
        <v>114</v>
      </c>
      <c r="C214" t="s">
        <v>5</v>
      </c>
    </row>
    <row r="215" spans="1:3">
      <c r="A215" t="s">
        <v>35</v>
      </c>
      <c r="B215" t="s">
        <v>118</v>
      </c>
      <c r="C215" t="s">
        <v>5</v>
      </c>
    </row>
    <row r="216" spans="1:3">
      <c r="A216" t="s">
        <v>35</v>
      </c>
      <c r="B216" t="s">
        <v>132</v>
      </c>
      <c r="C216" t="s">
        <v>5</v>
      </c>
    </row>
    <row r="217" spans="1:3">
      <c r="A217" t="s">
        <v>35</v>
      </c>
      <c r="B217" t="s">
        <v>134</v>
      </c>
      <c r="C217" t="s">
        <v>5</v>
      </c>
    </row>
    <row r="218" spans="1:3">
      <c r="A218" t="s">
        <v>35</v>
      </c>
      <c r="B218" t="s">
        <v>124</v>
      </c>
      <c r="C218" t="s">
        <v>5</v>
      </c>
    </row>
    <row r="219" spans="1:3">
      <c r="A219" t="s">
        <v>35</v>
      </c>
      <c r="B219" t="s">
        <v>139</v>
      </c>
      <c r="C219" t="s">
        <v>5</v>
      </c>
    </row>
    <row r="220" spans="1:3">
      <c r="A220" t="s">
        <v>35</v>
      </c>
      <c r="B220" t="s">
        <v>143</v>
      </c>
      <c r="C220" t="s">
        <v>5</v>
      </c>
    </row>
    <row r="221" spans="1:3">
      <c r="A221" t="s">
        <v>35</v>
      </c>
      <c r="B221" t="s">
        <v>146</v>
      </c>
      <c r="C221" t="s">
        <v>5</v>
      </c>
    </row>
    <row r="222" spans="1:3">
      <c r="A222" t="s">
        <v>36</v>
      </c>
      <c r="B222" t="s">
        <v>121</v>
      </c>
      <c r="C222" t="s">
        <v>5</v>
      </c>
    </row>
    <row r="223" spans="1:3">
      <c r="A223" t="s">
        <v>36</v>
      </c>
      <c r="B223" t="s">
        <v>122</v>
      </c>
      <c r="C223" t="s">
        <v>5</v>
      </c>
    </row>
    <row r="224" spans="1:3">
      <c r="A224" t="s">
        <v>171</v>
      </c>
      <c r="B224" t="s">
        <v>132</v>
      </c>
      <c r="C224" t="s">
        <v>5</v>
      </c>
    </row>
    <row r="225" spans="1:3">
      <c r="A225" t="s">
        <v>38</v>
      </c>
      <c r="B225" t="s">
        <v>159</v>
      </c>
      <c r="C225" t="s">
        <v>5</v>
      </c>
    </row>
    <row r="226" spans="1:3">
      <c r="A226" t="s">
        <v>38</v>
      </c>
      <c r="B226" t="s">
        <v>160</v>
      </c>
      <c r="C226" t="s">
        <v>5</v>
      </c>
    </row>
    <row r="227" spans="1:3">
      <c r="A227" t="s">
        <v>38</v>
      </c>
      <c r="B227" t="s">
        <v>150</v>
      </c>
      <c r="C227" t="s">
        <v>5</v>
      </c>
    </row>
    <row r="228" spans="1:3">
      <c r="A228" t="s">
        <v>38</v>
      </c>
      <c r="B228" t="s">
        <v>107</v>
      </c>
      <c r="C228" t="s">
        <v>5</v>
      </c>
    </row>
    <row r="229" spans="1:3">
      <c r="A229" t="s">
        <v>38</v>
      </c>
      <c r="B229" t="s">
        <v>151</v>
      </c>
      <c r="C229" t="s">
        <v>5</v>
      </c>
    </row>
    <row r="230" spans="1:3">
      <c r="A230" t="s">
        <v>38</v>
      </c>
      <c r="B230" t="s">
        <v>112</v>
      </c>
      <c r="C230" t="s">
        <v>5</v>
      </c>
    </row>
    <row r="231" spans="1:3">
      <c r="A231" t="s">
        <v>38</v>
      </c>
      <c r="B231" t="s">
        <v>127</v>
      </c>
      <c r="C231" t="s">
        <v>5</v>
      </c>
    </row>
    <row r="232" spans="1:3">
      <c r="A232" t="s">
        <v>38</v>
      </c>
      <c r="B232" t="s">
        <v>114</v>
      </c>
      <c r="C232" t="s">
        <v>5</v>
      </c>
    </row>
    <row r="233" spans="1:3">
      <c r="A233" t="s">
        <v>38</v>
      </c>
      <c r="B233" t="s">
        <v>152</v>
      </c>
      <c r="C233" t="s">
        <v>5</v>
      </c>
    </row>
    <row r="234" spans="1:3">
      <c r="A234" t="s">
        <v>38</v>
      </c>
      <c r="B234" t="s">
        <v>116</v>
      </c>
      <c r="C234" t="s">
        <v>5</v>
      </c>
    </row>
    <row r="235" spans="1:3">
      <c r="A235" t="s">
        <v>38</v>
      </c>
      <c r="B235" t="s">
        <v>153</v>
      </c>
      <c r="C235" t="s">
        <v>5</v>
      </c>
    </row>
    <row r="236" spans="1:3">
      <c r="A236" t="s">
        <v>38</v>
      </c>
      <c r="B236" t="s">
        <v>117</v>
      </c>
      <c r="C236" t="s">
        <v>5</v>
      </c>
    </row>
    <row r="237" spans="1:3">
      <c r="A237" t="s">
        <v>38</v>
      </c>
      <c r="B237" t="s">
        <v>118</v>
      </c>
      <c r="C237" t="s">
        <v>5</v>
      </c>
    </row>
    <row r="238" spans="1:3">
      <c r="A238" t="s">
        <v>38</v>
      </c>
      <c r="B238" t="s">
        <v>128</v>
      </c>
      <c r="C238" t="s">
        <v>5</v>
      </c>
    </row>
    <row r="239" spans="1:3">
      <c r="A239" t="s">
        <v>38</v>
      </c>
      <c r="B239" t="s">
        <v>119</v>
      </c>
      <c r="C239" t="s">
        <v>5</v>
      </c>
    </row>
    <row r="240" spans="1:3">
      <c r="A240" t="s">
        <v>38</v>
      </c>
      <c r="B240" t="s">
        <v>129</v>
      </c>
      <c r="C240" t="s">
        <v>5</v>
      </c>
    </row>
    <row r="241" spans="1:3">
      <c r="A241" t="s">
        <v>38</v>
      </c>
      <c r="B241" t="s">
        <v>120</v>
      </c>
      <c r="C241" t="s">
        <v>5</v>
      </c>
    </row>
    <row r="242" spans="1:3">
      <c r="A242" t="s">
        <v>38</v>
      </c>
      <c r="B242" t="s">
        <v>121</v>
      </c>
      <c r="C242" t="s">
        <v>5</v>
      </c>
    </row>
    <row r="243" spans="1:3">
      <c r="A243" t="s">
        <v>38</v>
      </c>
      <c r="B243" t="s">
        <v>122</v>
      </c>
      <c r="C243" t="s">
        <v>5</v>
      </c>
    </row>
    <row r="244" spans="1:3">
      <c r="A244" t="s">
        <v>38</v>
      </c>
      <c r="B244" t="s">
        <v>130</v>
      </c>
      <c r="C244" t="s">
        <v>5</v>
      </c>
    </row>
    <row r="245" spans="1:3">
      <c r="A245" t="s">
        <v>38</v>
      </c>
      <c r="B245" t="s">
        <v>123</v>
      </c>
      <c r="C245" t="s">
        <v>5</v>
      </c>
    </row>
    <row r="246" spans="1:3">
      <c r="A246" t="s">
        <v>38</v>
      </c>
      <c r="B246" t="s">
        <v>131</v>
      </c>
      <c r="C246" t="s">
        <v>5</v>
      </c>
    </row>
    <row r="247" spans="1:3">
      <c r="A247" t="s">
        <v>38</v>
      </c>
      <c r="B247" t="s">
        <v>132</v>
      </c>
      <c r="C247" t="s">
        <v>5</v>
      </c>
    </row>
    <row r="248" spans="1:3">
      <c r="A248" t="s">
        <v>38</v>
      </c>
      <c r="B248" t="s">
        <v>133</v>
      </c>
      <c r="C248" t="s">
        <v>5</v>
      </c>
    </row>
    <row r="249" spans="1:3">
      <c r="A249" t="s">
        <v>38</v>
      </c>
      <c r="B249" t="s">
        <v>134</v>
      </c>
      <c r="C249" t="s">
        <v>5</v>
      </c>
    </row>
    <row r="250" spans="1:3">
      <c r="A250" t="s">
        <v>38</v>
      </c>
      <c r="B250" t="s">
        <v>135</v>
      </c>
      <c r="C250" t="s">
        <v>5</v>
      </c>
    </row>
    <row r="251" spans="1:3">
      <c r="A251" t="s">
        <v>38</v>
      </c>
      <c r="B251" t="s">
        <v>124</v>
      </c>
      <c r="C251" t="s">
        <v>5</v>
      </c>
    </row>
    <row r="252" spans="1:3">
      <c r="A252" t="s">
        <v>38</v>
      </c>
      <c r="B252" t="s">
        <v>162</v>
      </c>
      <c r="C252" t="s">
        <v>5</v>
      </c>
    </row>
    <row r="253" spans="1:3">
      <c r="A253" t="s">
        <v>38</v>
      </c>
      <c r="B253" t="s">
        <v>145</v>
      </c>
      <c r="C253" t="s">
        <v>5</v>
      </c>
    </row>
    <row r="254" spans="1:3">
      <c r="A254" t="s">
        <v>38</v>
      </c>
      <c r="B254" t="s">
        <v>137</v>
      </c>
      <c r="C254" t="s">
        <v>5</v>
      </c>
    </row>
    <row r="255" spans="1:3">
      <c r="A255" t="s">
        <v>38</v>
      </c>
      <c r="B255" t="s">
        <v>138</v>
      </c>
      <c r="C255" t="s">
        <v>5</v>
      </c>
    </row>
    <row r="256" spans="1:3">
      <c r="A256" t="s">
        <v>38</v>
      </c>
      <c r="B256" t="s">
        <v>139</v>
      </c>
      <c r="C256" t="s">
        <v>5</v>
      </c>
    </row>
    <row r="257" spans="1:3">
      <c r="A257" t="s">
        <v>38</v>
      </c>
      <c r="B257" t="s">
        <v>140</v>
      </c>
      <c r="C257" t="s">
        <v>5</v>
      </c>
    </row>
    <row r="258" spans="1:3">
      <c r="A258" t="s">
        <v>38</v>
      </c>
      <c r="B258" t="s">
        <v>141</v>
      </c>
      <c r="C258" t="s">
        <v>5</v>
      </c>
    </row>
    <row r="259" spans="1:3">
      <c r="A259" t="s">
        <v>38</v>
      </c>
      <c r="B259" t="s">
        <v>142</v>
      </c>
      <c r="C259" t="s">
        <v>5</v>
      </c>
    </row>
    <row r="260" spans="1:3">
      <c r="A260" t="s">
        <v>38</v>
      </c>
      <c r="B260" t="s">
        <v>143</v>
      </c>
      <c r="C260" t="s">
        <v>5</v>
      </c>
    </row>
    <row r="261" spans="1:3">
      <c r="A261" t="s">
        <v>38</v>
      </c>
      <c r="B261" t="s">
        <v>170</v>
      </c>
      <c r="C261" t="s">
        <v>5</v>
      </c>
    </row>
    <row r="262" spans="1:3">
      <c r="A262" t="s">
        <v>38</v>
      </c>
      <c r="B262" t="s">
        <v>146</v>
      </c>
      <c r="C262" t="s">
        <v>5</v>
      </c>
    </row>
    <row r="263" spans="1:3">
      <c r="A263" t="s">
        <v>38</v>
      </c>
      <c r="B263" t="s">
        <v>155</v>
      </c>
      <c r="C263" t="s">
        <v>5</v>
      </c>
    </row>
    <row r="264" spans="1:3">
      <c r="A264" t="s">
        <v>38</v>
      </c>
      <c r="B264" t="s">
        <v>144</v>
      </c>
      <c r="C264" t="s">
        <v>5</v>
      </c>
    </row>
    <row r="265" spans="1:3">
      <c r="A265" t="s">
        <v>38</v>
      </c>
      <c r="B265" t="s">
        <v>147</v>
      </c>
      <c r="C265" t="s">
        <v>5</v>
      </c>
    </row>
    <row r="266" spans="1:3">
      <c r="A266" t="s">
        <v>39</v>
      </c>
      <c r="B266" t="s">
        <v>150</v>
      </c>
      <c r="C266" t="s">
        <v>5</v>
      </c>
    </row>
    <row r="267" spans="1:3">
      <c r="A267" t="s">
        <v>39</v>
      </c>
      <c r="B267" t="s">
        <v>107</v>
      </c>
      <c r="C267" t="s">
        <v>5</v>
      </c>
    </row>
    <row r="268" spans="1:3">
      <c r="A268" t="s">
        <v>39</v>
      </c>
      <c r="B268" t="s">
        <v>151</v>
      </c>
      <c r="C268" t="s">
        <v>5</v>
      </c>
    </row>
    <row r="269" spans="1:3">
      <c r="A269" t="s">
        <v>39</v>
      </c>
      <c r="B269" t="s">
        <v>112</v>
      </c>
      <c r="C269" t="s">
        <v>5</v>
      </c>
    </row>
    <row r="270" spans="1:3">
      <c r="A270" t="s">
        <v>39</v>
      </c>
      <c r="B270" t="s">
        <v>127</v>
      </c>
      <c r="C270" t="s">
        <v>5</v>
      </c>
    </row>
    <row r="271" spans="1:3">
      <c r="A271" t="s">
        <v>39</v>
      </c>
      <c r="B271" t="s">
        <v>114</v>
      </c>
      <c r="C271" t="s">
        <v>5</v>
      </c>
    </row>
    <row r="272" spans="1:3">
      <c r="A272" t="s">
        <v>39</v>
      </c>
      <c r="B272" t="s">
        <v>152</v>
      </c>
      <c r="C272" t="s">
        <v>5</v>
      </c>
    </row>
    <row r="273" spans="1:3">
      <c r="A273" t="s">
        <v>39</v>
      </c>
      <c r="B273" t="s">
        <v>116</v>
      </c>
      <c r="C273" t="s">
        <v>5</v>
      </c>
    </row>
    <row r="274" spans="1:3">
      <c r="A274" t="s">
        <v>39</v>
      </c>
      <c r="B274" t="s">
        <v>153</v>
      </c>
      <c r="C274" t="s">
        <v>5</v>
      </c>
    </row>
    <row r="275" spans="1:3">
      <c r="A275" t="s">
        <v>39</v>
      </c>
      <c r="B275" t="s">
        <v>117</v>
      </c>
      <c r="C275" t="s">
        <v>5</v>
      </c>
    </row>
    <row r="276" spans="1:3">
      <c r="A276" t="s">
        <v>39</v>
      </c>
      <c r="B276" t="s">
        <v>118</v>
      </c>
      <c r="C276" t="s">
        <v>5</v>
      </c>
    </row>
    <row r="277" spans="1:3">
      <c r="A277" t="s">
        <v>39</v>
      </c>
      <c r="B277" t="s">
        <v>121</v>
      </c>
      <c r="C277" t="s">
        <v>5</v>
      </c>
    </row>
    <row r="278" spans="1:3">
      <c r="A278" t="s">
        <v>39</v>
      </c>
      <c r="B278" t="s">
        <v>122</v>
      </c>
      <c r="C278" t="s">
        <v>5</v>
      </c>
    </row>
    <row r="279" spans="1:3">
      <c r="A279" t="s">
        <v>39</v>
      </c>
      <c r="B279" t="s">
        <v>130</v>
      </c>
      <c r="C279" t="s">
        <v>5</v>
      </c>
    </row>
    <row r="280" spans="1:3">
      <c r="A280" t="s">
        <v>39</v>
      </c>
      <c r="B280" t="s">
        <v>123</v>
      </c>
      <c r="C280" t="s">
        <v>5</v>
      </c>
    </row>
    <row r="281" spans="1:3">
      <c r="A281" t="s">
        <v>39</v>
      </c>
      <c r="B281" t="s">
        <v>134</v>
      </c>
      <c r="C281" t="s">
        <v>5</v>
      </c>
    </row>
    <row r="282" spans="1:3">
      <c r="A282" t="s">
        <v>39</v>
      </c>
      <c r="B282" t="s">
        <v>135</v>
      </c>
      <c r="C282" t="s">
        <v>5</v>
      </c>
    </row>
    <row r="283" spans="1:3">
      <c r="A283" t="s">
        <v>39</v>
      </c>
      <c r="B283" t="s">
        <v>124</v>
      </c>
      <c r="C283" t="s">
        <v>5</v>
      </c>
    </row>
    <row r="284" spans="1:3">
      <c r="A284" t="s">
        <v>39</v>
      </c>
      <c r="B284" t="s">
        <v>138</v>
      </c>
      <c r="C284" t="s">
        <v>5</v>
      </c>
    </row>
    <row r="285" spans="1:3">
      <c r="A285" t="s">
        <v>39</v>
      </c>
      <c r="B285" t="s">
        <v>139</v>
      </c>
      <c r="C285" t="s">
        <v>5</v>
      </c>
    </row>
    <row r="286" spans="1:3">
      <c r="A286" t="s">
        <v>39</v>
      </c>
      <c r="B286" t="s">
        <v>140</v>
      </c>
      <c r="C286" t="s">
        <v>5</v>
      </c>
    </row>
    <row r="287" spans="1:3">
      <c r="A287" t="s">
        <v>39</v>
      </c>
      <c r="B287" t="s">
        <v>141</v>
      </c>
      <c r="C287" t="s">
        <v>5</v>
      </c>
    </row>
    <row r="288" spans="1:3">
      <c r="A288" t="s">
        <v>39</v>
      </c>
      <c r="B288" t="s">
        <v>142</v>
      </c>
      <c r="C288" t="s">
        <v>5</v>
      </c>
    </row>
    <row r="289" spans="1:3">
      <c r="A289" t="s">
        <v>39</v>
      </c>
      <c r="B289" t="s">
        <v>143</v>
      </c>
      <c r="C289" t="s">
        <v>5</v>
      </c>
    </row>
    <row r="290" spans="1:3">
      <c r="A290" t="s">
        <v>39</v>
      </c>
      <c r="B290" t="s">
        <v>155</v>
      </c>
      <c r="C290" t="s">
        <v>5</v>
      </c>
    </row>
    <row r="291" spans="1:3">
      <c r="A291" t="s">
        <v>39</v>
      </c>
      <c r="B291" t="s">
        <v>144</v>
      </c>
      <c r="C291" t="s">
        <v>5</v>
      </c>
    </row>
    <row r="292" spans="1:3">
      <c r="A292" t="s">
        <v>172</v>
      </c>
      <c r="B292" t="s">
        <v>160</v>
      </c>
      <c r="C292" t="s">
        <v>5</v>
      </c>
    </row>
    <row r="293" spans="1:3">
      <c r="A293" t="s">
        <v>40</v>
      </c>
      <c r="B293" t="s">
        <v>150</v>
      </c>
      <c r="C293" t="s">
        <v>5</v>
      </c>
    </row>
    <row r="294" spans="1:3">
      <c r="A294" t="s">
        <v>40</v>
      </c>
      <c r="B294" t="s">
        <v>107</v>
      </c>
      <c r="C294" t="s">
        <v>5</v>
      </c>
    </row>
    <row r="295" spans="1:3">
      <c r="A295" t="s">
        <v>40</v>
      </c>
      <c r="B295" t="s">
        <v>151</v>
      </c>
      <c r="C295" t="s">
        <v>5</v>
      </c>
    </row>
    <row r="296" spans="1:3">
      <c r="A296" t="s">
        <v>40</v>
      </c>
      <c r="B296" t="s">
        <v>112</v>
      </c>
      <c r="C296" t="s">
        <v>5</v>
      </c>
    </row>
    <row r="297" spans="1:3">
      <c r="A297" t="s">
        <v>40</v>
      </c>
      <c r="B297" t="s">
        <v>127</v>
      </c>
      <c r="C297" t="s">
        <v>5</v>
      </c>
    </row>
    <row r="298" spans="1:3">
      <c r="A298" t="s">
        <v>40</v>
      </c>
      <c r="B298" t="s">
        <v>114</v>
      </c>
      <c r="C298" t="s">
        <v>5</v>
      </c>
    </row>
    <row r="299" spans="1:3">
      <c r="A299" t="s">
        <v>40</v>
      </c>
      <c r="B299" t="s">
        <v>153</v>
      </c>
      <c r="C299" t="s">
        <v>5</v>
      </c>
    </row>
    <row r="300" spans="1:3">
      <c r="A300" t="s">
        <v>40</v>
      </c>
      <c r="B300" t="s">
        <v>118</v>
      </c>
      <c r="C300" t="s">
        <v>5</v>
      </c>
    </row>
    <row r="301" spans="1:3">
      <c r="A301" t="s">
        <v>40</v>
      </c>
      <c r="B301" t="s">
        <v>121</v>
      </c>
      <c r="C301" t="s">
        <v>5</v>
      </c>
    </row>
    <row r="302" spans="1:3">
      <c r="A302" t="s">
        <v>40</v>
      </c>
      <c r="B302" t="s">
        <v>130</v>
      </c>
      <c r="C302" t="s">
        <v>5</v>
      </c>
    </row>
    <row r="303" spans="1:3">
      <c r="A303" t="s">
        <v>40</v>
      </c>
      <c r="B303" t="s">
        <v>134</v>
      </c>
      <c r="C303" t="s">
        <v>5</v>
      </c>
    </row>
    <row r="304" spans="1:3">
      <c r="A304" t="s">
        <v>40</v>
      </c>
      <c r="B304" t="s">
        <v>135</v>
      </c>
      <c r="C304" t="s">
        <v>5</v>
      </c>
    </row>
    <row r="305" spans="1:3">
      <c r="A305" t="s">
        <v>40</v>
      </c>
      <c r="B305" t="s">
        <v>138</v>
      </c>
      <c r="C305" t="s">
        <v>5</v>
      </c>
    </row>
    <row r="306" spans="1:3">
      <c r="A306" t="s">
        <v>40</v>
      </c>
      <c r="B306" t="s">
        <v>139</v>
      </c>
      <c r="C306" t="s">
        <v>5</v>
      </c>
    </row>
    <row r="307" spans="1:3">
      <c r="A307" t="s">
        <v>40</v>
      </c>
      <c r="B307" t="s">
        <v>140</v>
      </c>
      <c r="C307" t="s">
        <v>5</v>
      </c>
    </row>
    <row r="308" spans="1:3">
      <c r="A308" t="s">
        <v>40</v>
      </c>
      <c r="B308" t="s">
        <v>142</v>
      </c>
      <c r="C308" t="s">
        <v>5</v>
      </c>
    </row>
    <row r="309" spans="1:3">
      <c r="A309" t="s">
        <v>40</v>
      </c>
      <c r="B309" t="s">
        <v>143</v>
      </c>
      <c r="C309" t="s">
        <v>5</v>
      </c>
    </row>
    <row r="310" spans="1:3">
      <c r="A310" t="s">
        <v>40</v>
      </c>
      <c r="B310" t="s">
        <v>155</v>
      </c>
      <c r="C310" t="s">
        <v>5</v>
      </c>
    </row>
    <row r="311" spans="1:3">
      <c r="A311" t="s">
        <v>41</v>
      </c>
      <c r="B311" t="s">
        <v>150</v>
      </c>
      <c r="C311" t="s">
        <v>5</v>
      </c>
    </row>
    <row r="312" spans="1:3">
      <c r="A312" t="s">
        <v>41</v>
      </c>
      <c r="B312" t="s">
        <v>107</v>
      </c>
      <c r="C312" t="s">
        <v>5</v>
      </c>
    </row>
    <row r="313" spans="1:3">
      <c r="A313" t="s">
        <v>41</v>
      </c>
      <c r="B313" t="s">
        <v>151</v>
      </c>
      <c r="C313" t="s">
        <v>5</v>
      </c>
    </row>
    <row r="314" spans="1:3">
      <c r="A314" t="s">
        <v>41</v>
      </c>
      <c r="B314" t="s">
        <v>112</v>
      </c>
      <c r="C314" t="s">
        <v>5</v>
      </c>
    </row>
    <row r="315" spans="1:3">
      <c r="A315" t="s">
        <v>41</v>
      </c>
      <c r="B315" t="s">
        <v>127</v>
      </c>
      <c r="C315" t="s">
        <v>5</v>
      </c>
    </row>
    <row r="316" spans="1:3">
      <c r="A316" t="s">
        <v>41</v>
      </c>
      <c r="B316" t="s">
        <v>114</v>
      </c>
      <c r="C316" t="s">
        <v>5</v>
      </c>
    </row>
    <row r="317" spans="1:3">
      <c r="A317" t="s">
        <v>41</v>
      </c>
      <c r="B317" t="s">
        <v>153</v>
      </c>
      <c r="C317" t="s">
        <v>5</v>
      </c>
    </row>
    <row r="318" spans="1:3">
      <c r="A318" t="s">
        <v>41</v>
      </c>
      <c r="B318" t="s">
        <v>117</v>
      </c>
      <c r="C318" t="s">
        <v>5</v>
      </c>
    </row>
    <row r="319" spans="1:3">
      <c r="A319" t="s">
        <v>41</v>
      </c>
      <c r="B319" t="s">
        <v>118</v>
      </c>
      <c r="C319" t="s">
        <v>5</v>
      </c>
    </row>
    <row r="320" spans="1:3">
      <c r="A320" t="s">
        <v>41</v>
      </c>
      <c r="B320" t="s">
        <v>121</v>
      </c>
      <c r="C320" t="s">
        <v>5</v>
      </c>
    </row>
    <row r="321" spans="1:3">
      <c r="A321" t="s">
        <v>41</v>
      </c>
      <c r="B321" t="s">
        <v>122</v>
      </c>
      <c r="C321" t="s">
        <v>5</v>
      </c>
    </row>
    <row r="322" spans="1:3">
      <c r="A322" t="s">
        <v>41</v>
      </c>
      <c r="B322" t="s">
        <v>130</v>
      </c>
      <c r="C322" t="s">
        <v>5</v>
      </c>
    </row>
    <row r="323" spans="1:3">
      <c r="A323" t="s">
        <v>41</v>
      </c>
      <c r="B323" t="s">
        <v>123</v>
      </c>
      <c r="C323" t="s">
        <v>5</v>
      </c>
    </row>
    <row r="324" spans="1:3">
      <c r="A324" t="s">
        <v>41</v>
      </c>
      <c r="B324" t="s">
        <v>134</v>
      </c>
      <c r="C324" t="s">
        <v>5</v>
      </c>
    </row>
    <row r="325" spans="1:3">
      <c r="A325" t="s">
        <v>41</v>
      </c>
      <c r="B325" t="s">
        <v>135</v>
      </c>
      <c r="C325" t="s">
        <v>5</v>
      </c>
    </row>
    <row r="326" spans="1:3">
      <c r="A326" t="s">
        <v>41</v>
      </c>
      <c r="B326" t="s">
        <v>124</v>
      </c>
      <c r="C326" t="s">
        <v>5</v>
      </c>
    </row>
    <row r="327" spans="1:3">
      <c r="A327" t="s">
        <v>41</v>
      </c>
      <c r="B327" t="s">
        <v>138</v>
      </c>
      <c r="C327" t="s">
        <v>5</v>
      </c>
    </row>
    <row r="328" spans="1:3">
      <c r="A328" t="s">
        <v>41</v>
      </c>
      <c r="B328" t="s">
        <v>139</v>
      </c>
      <c r="C328" t="s">
        <v>5</v>
      </c>
    </row>
    <row r="329" spans="1:3">
      <c r="A329" t="s">
        <v>41</v>
      </c>
      <c r="B329" t="s">
        <v>140</v>
      </c>
      <c r="C329" t="s">
        <v>5</v>
      </c>
    </row>
    <row r="330" spans="1:3">
      <c r="A330" t="s">
        <v>41</v>
      </c>
      <c r="B330" t="s">
        <v>141</v>
      </c>
      <c r="C330" t="s">
        <v>5</v>
      </c>
    </row>
    <row r="331" spans="1:3">
      <c r="A331" t="s">
        <v>41</v>
      </c>
      <c r="B331" t="s">
        <v>142</v>
      </c>
      <c r="C331" t="s">
        <v>5</v>
      </c>
    </row>
    <row r="332" spans="1:3">
      <c r="A332" t="s">
        <v>41</v>
      </c>
      <c r="B332" t="s">
        <v>143</v>
      </c>
      <c r="C332" t="s">
        <v>5</v>
      </c>
    </row>
    <row r="333" spans="1:3">
      <c r="A333" t="s">
        <v>41</v>
      </c>
      <c r="B333" t="s">
        <v>155</v>
      </c>
      <c r="C333" t="s">
        <v>5</v>
      </c>
    </row>
    <row r="334" spans="1:3">
      <c r="A334" t="s">
        <v>41</v>
      </c>
      <c r="B334" t="s">
        <v>144</v>
      </c>
      <c r="C334" t="s">
        <v>5</v>
      </c>
    </row>
    <row r="335" spans="1:3">
      <c r="A335" t="s">
        <v>42</v>
      </c>
      <c r="B335" t="s">
        <v>150</v>
      </c>
      <c r="C335" t="s">
        <v>5</v>
      </c>
    </row>
    <row r="336" spans="1:3">
      <c r="A336" t="s">
        <v>42</v>
      </c>
      <c r="B336" t="s">
        <v>107</v>
      </c>
      <c r="C336" t="s">
        <v>5</v>
      </c>
    </row>
    <row r="337" spans="1:3">
      <c r="A337" t="s">
        <v>42</v>
      </c>
      <c r="B337" t="s">
        <v>151</v>
      </c>
      <c r="C337" t="s">
        <v>5</v>
      </c>
    </row>
    <row r="338" spans="1:3">
      <c r="A338" t="s">
        <v>42</v>
      </c>
      <c r="B338" t="s">
        <v>112</v>
      </c>
      <c r="C338" t="s">
        <v>5</v>
      </c>
    </row>
    <row r="339" spans="1:3">
      <c r="A339" t="s">
        <v>42</v>
      </c>
      <c r="B339" t="s">
        <v>127</v>
      </c>
      <c r="C339" t="s">
        <v>5</v>
      </c>
    </row>
    <row r="340" spans="1:3">
      <c r="A340" t="s">
        <v>42</v>
      </c>
      <c r="B340" t="s">
        <v>114</v>
      </c>
      <c r="C340" t="s">
        <v>5</v>
      </c>
    </row>
    <row r="341" spans="1:3">
      <c r="A341" t="s">
        <v>42</v>
      </c>
      <c r="B341" t="s">
        <v>153</v>
      </c>
      <c r="C341" t="s">
        <v>5</v>
      </c>
    </row>
    <row r="342" spans="1:3">
      <c r="A342" t="s">
        <v>42</v>
      </c>
      <c r="B342" t="s">
        <v>118</v>
      </c>
      <c r="C342" t="s">
        <v>5</v>
      </c>
    </row>
    <row r="343" spans="1:3">
      <c r="A343" t="s">
        <v>42</v>
      </c>
      <c r="B343" t="s">
        <v>121</v>
      </c>
      <c r="C343" t="s">
        <v>5</v>
      </c>
    </row>
    <row r="344" spans="1:3">
      <c r="A344" t="s">
        <v>42</v>
      </c>
      <c r="B344" t="s">
        <v>130</v>
      </c>
      <c r="C344" t="s">
        <v>5</v>
      </c>
    </row>
    <row r="345" spans="1:3">
      <c r="A345" t="s">
        <v>42</v>
      </c>
      <c r="B345" t="s">
        <v>134</v>
      </c>
      <c r="C345" t="s">
        <v>5</v>
      </c>
    </row>
    <row r="346" spans="1:3">
      <c r="A346" t="s">
        <v>42</v>
      </c>
      <c r="B346" t="s">
        <v>135</v>
      </c>
      <c r="C346" t="s">
        <v>5</v>
      </c>
    </row>
    <row r="347" spans="1:3">
      <c r="A347" t="s">
        <v>42</v>
      </c>
      <c r="B347" t="s">
        <v>138</v>
      </c>
      <c r="C347" t="s">
        <v>5</v>
      </c>
    </row>
    <row r="348" spans="1:3">
      <c r="A348" t="s">
        <v>42</v>
      </c>
      <c r="B348" t="s">
        <v>139</v>
      </c>
      <c r="C348" t="s">
        <v>5</v>
      </c>
    </row>
    <row r="349" spans="1:3">
      <c r="A349" t="s">
        <v>42</v>
      </c>
      <c r="B349" t="s">
        <v>140</v>
      </c>
      <c r="C349" t="s">
        <v>5</v>
      </c>
    </row>
    <row r="350" spans="1:3">
      <c r="A350" t="s">
        <v>42</v>
      </c>
      <c r="B350" t="s">
        <v>142</v>
      </c>
      <c r="C350" t="s">
        <v>5</v>
      </c>
    </row>
    <row r="351" spans="1:3">
      <c r="A351" t="s">
        <v>42</v>
      </c>
      <c r="B351" t="s">
        <v>143</v>
      </c>
      <c r="C351" t="s">
        <v>5</v>
      </c>
    </row>
    <row r="352" spans="1:3">
      <c r="A352" t="s">
        <v>42</v>
      </c>
      <c r="B352" t="s">
        <v>155</v>
      </c>
      <c r="C352" t="s">
        <v>5</v>
      </c>
    </row>
    <row r="353" spans="1:3">
      <c r="A353" t="s">
        <v>43</v>
      </c>
      <c r="B353" t="s">
        <v>160</v>
      </c>
      <c r="C353" t="s">
        <v>5</v>
      </c>
    </row>
    <row r="354" spans="1:3">
      <c r="A354" t="s">
        <v>43</v>
      </c>
      <c r="B354" t="s">
        <v>150</v>
      </c>
      <c r="C354" t="s">
        <v>5</v>
      </c>
    </row>
    <row r="355" spans="1:3">
      <c r="A355" t="s">
        <v>43</v>
      </c>
      <c r="B355" t="s">
        <v>173</v>
      </c>
      <c r="C355" t="s">
        <v>5</v>
      </c>
    </row>
    <row r="356" spans="1:3">
      <c r="A356" t="s">
        <v>43</v>
      </c>
      <c r="B356" t="s">
        <v>107</v>
      </c>
      <c r="C356" t="s">
        <v>5</v>
      </c>
    </row>
    <row r="357" spans="1:3">
      <c r="A357" t="s">
        <v>43</v>
      </c>
      <c r="B357" t="s">
        <v>151</v>
      </c>
      <c r="C357" t="s">
        <v>5</v>
      </c>
    </row>
    <row r="358" spans="1:3">
      <c r="A358" t="s">
        <v>43</v>
      </c>
      <c r="B358" t="s">
        <v>174</v>
      </c>
      <c r="C358" t="s">
        <v>5</v>
      </c>
    </row>
    <row r="359" spans="1:3">
      <c r="A359" t="s">
        <v>43</v>
      </c>
      <c r="B359" t="s">
        <v>112</v>
      </c>
      <c r="C359" t="s">
        <v>5</v>
      </c>
    </row>
    <row r="360" spans="1:3">
      <c r="A360" t="s">
        <v>43</v>
      </c>
      <c r="B360" t="s">
        <v>127</v>
      </c>
      <c r="C360" t="s">
        <v>5</v>
      </c>
    </row>
    <row r="361" spans="1:3">
      <c r="A361" t="s">
        <v>43</v>
      </c>
      <c r="B361" t="s">
        <v>175</v>
      </c>
      <c r="C361" t="s">
        <v>5</v>
      </c>
    </row>
    <row r="362" spans="1:3">
      <c r="A362" t="s">
        <v>43</v>
      </c>
      <c r="B362" t="s">
        <v>114</v>
      </c>
      <c r="C362" t="s">
        <v>5</v>
      </c>
    </row>
    <row r="363" spans="1:3">
      <c r="A363" t="s">
        <v>43</v>
      </c>
      <c r="B363" t="s">
        <v>152</v>
      </c>
      <c r="C363" t="s">
        <v>5</v>
      </c>
    </row>
    <row r="364" spans="1:3">
      <c r="A364" t="s">
        <v>43</v>
      </c>
      <c r="B364" t="s">
        <v>176</v>
      </c>
      <c r="C364" t="s">
        <v>5</v>
      </c>
    </row>
    <row r="365" spans="1:3">
      <c r="A365" t="s">
        <v>43</v>
      </c>
      <c r="B365" t="s">
        <v>116</v>
      </c>
      <c r="C365" t="s">
        <v>5</v>
      </c>
    </row>
    <row r="366" spans="1:3">
      <c r="A366" t="s">
        <v>43</v>
      </c>
      <c r="B366" t="s">
        <v>153</v>
      </c>
      <c r="C366" t="s">
        <v>5</v>
      </c>
    </row>
    <row r="367" spans="1:3">
      <c r="A367" t="s">
        <v>43</v>
      </c>
      <c r="B367" t="s">
        <v>177</v>
      </c>
      <c r="C367" t="s">
        <v>5</v>
      </c>
    </row>
    <row r="368" spans="1:3">
      <c r="A368" t="s">
        <v>43</v>
      </c>
      <c r="B368" t="s">
        <v>117</v>
      </c>
      <c r="C368" t="s">
        <v>5</v>
      </c>
    </row>
    <row r="369" spans="1:3">
      <c r="A369" t="s">
        <v>43</v>
      </c>
      <c r="B369" t="s">
        <v>118</v>
      </c>
      <c r="C369" t="s">
        <v>5</v>
      </c>
    </row>
    <row r="370" spans="1:3">
      <c r="A370" t="s">
        <v>43</v>
      </c>
      <c r="B370" t="s">
        <v>119</v>
      </c>
      <c r="C370" t="s">
        <v>5</v>
      </c>
    </row>
    <row r="371" spans="1:3">
      <c r="A371" t="s">
        <v>43</v>
      </c>
      <c r="B371" t="s">
        <v>120</v>
      </c>
      <c r="C371" t="s">
        <v>5</v>
      </c>
    </row>
    <row r="372" spans="1:3">
      <c r="A372" t="s">
        <v>43</v>
      </c>
      <c r="B372" t="s">
        <v>121</v>
      </c>
      <c r="C372" t="s">
        <v>5</v>
      </c>
    </row>
    <row r="373" spans="1:3">
      <c r="A373" t="s">
        <v>43</v>
      </c>
      <c r="B373" t="s">
        <v>178</v>
      </c>
      <c r="C373" t="s">
        <v>5</v>
      </c>
    </row>
    <row r="374" spans="1:3">
      <c r="A374" t="s">
        <v>43</v>
      </c>
      <c r="B374" t="s">
        <v>122</v>
      </c>
      <c r="C374" t="s">
        <v>5</v>
      </c>
    </row>
    <row r="375" spans="1:3">
      <c r="A375" t="s">
        <v>43</v>
      </c>
      <c r="B375" t="s">
        <v>130</v>
      </c>
      <c r="C375" t="s">
        <v>5</v>
      </c>
    </row>
    <row r="376" spans="1:3">
      <c r="A376" t="s">
        <v>43</v>
      </c>
      <c r="B376" t="s">
        <v>179</v>
      </c>
      <c r="C376" t="s">
        <v>5</v>
      </c>
    </row>
    <row r="377" spans="1:3">
      <c r="A377" t="s">
        <v>43</v>
      </c>
      <c r="B377" t="s">
        <v>131</v>
      </c>
      <c r="C377" t="s">
        <v>5</v>
      </c>
    </row>
    <row r="378" spans="1:3">
      <c r="A378" t="s">
        <v>43</v>
      </c>
      <c r="B378" t="s">
        <v>132</v>
      </c>
      <c r="C378" t="s">
        <v>5</v>
      </c>
    </row>
    <row r="379" spans="1:3">
      <c r="A379" t="s">
        <v>43</v>
      </c>
      <c r="B379" t="s">
        <v>134</v>
      </c>
      <c r="C379" t="s">
        <v>5</v>
      </c>
    </row>
    <row r="380" spans="1:3">
      <c r="A380" t="s">
        <v>43</v>
      </c>
      <c r="B380" t="s">
        <v>135</v>
      </c>
      <c r="C380" t="s">
        <v>5</v>
      </c>
    </row>
    <row r="381" spans="1:3">
      <c r="A381" t="s">
        <v>43</v>
      </c>
      <c r="B381" t="s">
        <v>180</v>
      </c>
      <c r="C381" t="s">
        <v>5</v>
      </c>
    </row>
    <row r="382" spans="1:3">
      <c r="A382" t="s">
        <v>43</v>
      </c>
      <c r="B382" t="s">
        <v>124</v>
      </c>
      <c r="C382" t="s">
        <v>5</v>
      </c>
    </row>
    <row r="383" spans="1:3">
      <c r="A383" t="s">
        <v>43</v>
      </c>
      <c r="B383" t="s">
        <v>137</v>
      </c>
      <c r="C383" t="s">
        <v>5</v>
      </c>
    </row>
    <row r="384" spans="1:3">
      <c r="A384" t="s">
        <v>43</v>
      </c>
      <c r="B384" t="s">
        <v>138</v>
      </c>
      <c r="C384" t="s">
        <v>5</v>
      </c>
    </row>
    <row r="385" spans="1:3">
      <c r="A385" t="s">
        <v>43</v>
      </c>
      <c r="B385" t="s">
        <v>181</v>
      </c>
      <c r="C385" t="s">
        <v>5</v>
      </c>
    </row>
    <row r="386" spans="1:3">
      <c r="A386" t="s">
        <v>43</v>
      </c>
      <c r="B386" t="s">
        <v>139</v>
      </c>
      <c r="C386" t="s">
        <v>5</v>
      </c>
    </row>
    <row r="387" spans="1:3">
      <c r="A387" t="s">
        <v>43</v>
      </c>
      <c r="B387" t="s">
        <v>140</v>
      </c>
      <c r="C387" t="s">
        <v>5</v>
      </c>
    </row>
    <row r="388" spans="1:3">
      <c r="A388" t="s">
        <v>43</v>
      </c>
      <c r="B388" t="s">
        <v>182</v>
      </c>
      <c r="C388" t="s">
        <v>5</v>
      </c>
    </row>
    <row r="389" spans="1:3">
      <c r="A389" t="s">
        <v>43</v>
      </c>
      <c r="B389" t="s">
        <v>141</v>
      </c>
      <c r="C389" t="s">
        <v>5</v>
      </c>
    </row>
    <row r="390" spans="1:3">
      <c r="A390" t="s">
        <v>43</v>
      </c>
      <c r="B390" t="s">
        <v>142</v>
      </c>
      <c r="C390" t="s">
        <v>5</v>
      </c>
    </row>
    <row r="391" spans="1:3">
      <c r="A391" t="s">
        <v>43</v>
      </c>
      <c r="B391" t="s">
        <v>183</v>
      </c>
      <c r="C391" t="s">
        <v>5</v>
      </c>
    </row>
    <row r="392" spans="1:3">
      <c r="A392" t="s">
        <v>43</v>
      </c>
      <c r="B392" t="s">
        <v>143</v>
      </c>
      <c r="C392" t="s">
        <v>5</v>
      </c>
    </row>
    <row r="393" spans="1:3">
      <c r="A393" t="s">
        <v>43</v>
      </c>
      <c r="B393" t="s">
        <v>155</v>
      </c>
      <c r="C393" t="s">
        <v>5</v>
      </c>
    </row>
    <row r="394" spans="1:3">
      <c r="A394" t="s">
        <v>43</v>
      </c>
      <c r="B394" t="s">
        <v>184</v>
      </c>
      <c r="C394" t="s">
        <v>5</v>
      </c>
    </row>
    <row r="395" spans="1:3">
      <c r="A395" t="s">
        <v>43</v>
      </c>
      <c r="B395" t="s">
        <v>144</v>
      </c>
      <c r="C395" t="s">
        <v>5</v>
      </c>
    </row>
    <row r="396" spans="1:3">
      <c r="A396" t="s">
        <v>43</v>
      </c>
      <c r="B396" t="s">
        <v>157</v>
      </c>
      <c r="C396" t="s">
        <v>5</v>
      </c>
    </row>
    <row r="397" spans="1:3">
      <c r="A397" t="s">
        <v>43</v>
      </c>
      <c r="B397" t="s">
        <v>147</v>
      </c>
      <c r="C397" t="s">
        <v>5</v>
      </c>
    </row>
    <row r="398" spans="1:3">
      <c r="A398" t="s">
        <v>54</v>
      </c>
      <c r="B398" t="s">
        <v>159</v>
      </c>
      <c r="C398" t="s">
        <v>5</v>
      </c>
    </row>
    <row r="399" spans="1:3">
      <c r="A399" t="s">
        <v>54</v>
      </c>
      <c r="B399" t="s">
        <v>150</v>
      </c>
      <c r="C399" t="s">
        <v>5</v>
      </c>
    </row>
    <row r="400" spans="1:3">
      <c r="A400" t="s">
        <v>54</v>
      </c>
      <c r="B400" t="s">
        <v>107</v>
      </c>
      <c r="C400" t="s">
        <v>5</v>
      </c>
    </row>
    <row r="401" spans="1:3">
      <c r="A401" t="s">
        <v>54</v>
      </c>
      <c r="B401" t="s">
        <v>185</v>
      </c>
      <c r="C401" t="s">
        <v>5</v>
      </c>
    </row>
    <row r="402" spans="1:3">
      <c r="A402" t="s">
        <v>54</v>
      </c>
      <c r="B402" t="s">
        <v>161</v>
      </c>
      <c r="C402" t="s">
        <v>5</v>
      </c>
    </row>
    <row r="403" spans="1:3">
      <c r="A403" t="s">
        <v>54</v>
      </c>
      <c r="B403" t="s">
        <v>186</v>
      </c>
      <c r="C403" t="s">
        <v>5</v>
      </c>
    </row>
    <row r="404" spans="1:3">
      <c r="A404" t="s">
        <v>54</v>
      </c>
      <c r="B404" t="s">
        <v>187</v>
      </c>
      <c r="C404" t="s">
        <v>5</v>
      </c>
    </row>
    <row r="405" spans="1:3">
      <c r="A405" t="s">
        <v>54</v>
      </c>
      <c r="B405" t="s">
        <v>151</v>
      </c>
      <c r="C405" t="s">
        <v>5</v>
      </c>
    </row>
    <row r="406" spans="1:3">
      <c r="A406" t="s">
        <v>54</v>
      </c>
      <c r="B406" t="s">
        <v>112</v>
      </c>
      <c r="C406" t="s">
        <v>5</v>
      </c>
    </row>
    <row r="407" spans="1:3">
      <c r="A407" t="s">
        <v>54</v>
      </c>
      <c r="B407" t="s">
        <v>188</v>
      </c>
      <c r="C407" t="s">
        <v>5</v>
      </c>
    </row>
    <row r="408" spans="1:3">
      <c r="A408" t="s">
        <v>54</v>
      </c>
      <c r="B408" t="s">
        <v>127</v>
      </c>
      <c r="C408" t="s">
        <v>5</v>
      </c>
    </row>
    <row r="409" spans="1:3">
      <c r="A409" t="s">
        <v>54</v>
      </c>
      <c r="B409" t="s">
        <v>114</v>
      </c>
      <c r="C409" t="s">
        <v>5</v>
      </c>
    </row>
    <row r="410" spans="1:3">
      <c r="A410" t="s">
        <v>54</v>
      </c>
      <c r="B410" t="s">
        <v>189</v>
      </c>
      <c r="C410" t="s">
        <v>5</v>
      </c>
    </row>
    <row r="411" spans="1:3">
      <c r="A411" t="s">
        <v>54</v>
      </c>
      <c r="B411" t="s">
        <v>152</v>
      </c>
      <c r="C411" t="s">
        <v>5</v>
      </c>
    </row>
    <row r="412" spans="1:3">
      <c r="A412" t="s">
        <v>54</v>
      </c>
      <c r="B412" t="s">
        <v>153</v>
      </c>
      <c r="C412" t="s">
        <v>5</v>
      </c>
    </row>
    <row r="413" spans="1:3">
      <c r="A413" t="s">
        <v>54</v>
      </c>
      <c r="B413" t="s">
        <v>154</v>
      </c>
      <c r="C413" t="s">
        <v>5</v>
      </c>
    </row>
    <row r="414" spans="1:3">
      <c r="A414" t="s">
        <v>54</v>
      </c>
      <c r="B414" t="s">
        <v>118</v>
      </c>
      <c r="C414" t="s">
        <v>5</v>
      </c>
    </row>
    <row r="415" spans="1:3">
      <c r="A415" t="s">
        <v>54</v>
      </c>
      <c r="B415" t="s">
        <v>128</v>
      </c>
      <c r="C415" t="s">
        <v>5</v>
      </c>
    </row>
    <row r="416" spans="1:3">
      <c r="A416" t="s">
        <v>54</v>
      </c>
      <c r="B416" t="s">
        <v>129</v>
      </c>
      <c r="C416" t="s">
        <v>5</v>
      </c>
    </row>
    <row r="417" spans="1:3">
      <c r="A417" t="s">
        <v>54</v>
      </c>
      <c r="B417" t="s">
        <v>121</v>
      </c>
      <c r="C417" t="s">
        <v>5</v>
      </c>
    </row>
    <row r="418" spans="1:3">
      <c r="A418" t="s">
        <v>54</v>
      </c>
      <c r="B418" t="s">
        <v>130</v>
      </c>
      <c r="C418" t="s">
        <v>5</v>
      </c>
    </row>
    <row r="419" spans="1:3">
      <c r="A419" t="s">
        <v>54</v>
      </c>
      <c r="B419" t="s">
        <v>131</v>
      </c>
      <c r="C419" t="s">
        <v>5</v>
      </c>
    </row>
    <row r="420" spans="1:3">
      <c r="A420" t="s">
        <v>54</v>
      </c>
      <c r="B420" t="s">
        <v>133</v>
      </c>
      <c r="C420" t="s">
        <v>5</v>
      </c>
    </row>
    <row r="421" spans="1:3">
      <c r="A421" t="s">
        <v>54</v>
      </c>
      <c r="B421" t="s">
        <v>134</v>
      </c>
      <c r="C421" t="s">
        <v>5</v>
      </c>
    </row>
    <row r="422" spans="1:3">
      <c r="A422" t="s">
        <v>54</v>
      </c>
      <c r="B422" t="s">
        <v>135</v>
      </c>
      <c r="C422" t="s">
        <v>5</v>
      </c>
    </row>
    <row r="423" spans="1:3">
      <c r="A423" t="s">
        <v>54</v>
      </c>
      <c r="B423" t="s">
        <v>162</v>
      </c>
      <c r="C423" t="s">
        <v>5</v>
      </c>
    </row>
    <row r="424" spans="1:3">
      <c r="A424" t="s">
        <v>54</v>
      </c>
      <c r="B424" t="s">
        <v>136</v>
      </c>
      <c r="C424" t="s">
        <v>5</v>
      </c>
    </row>
    <row r="425" spans="1:3">
      <c r="A425" t="s">
        <v>54</v>
      </c>
      <c r="B425" t="s">
        <v>138</v>
      </c>
      <c r="C425" t="s">
        <v>5</v>
      </c>
    </row>
    <row r="426" spans="1:3">
      <c r="A426" t="s">
        <v>54</v>
      </c>
      <c r="B426" t="s">
        <v>139</v>
      </c>
      <c r="C426" t="s">
        <v>5</v>
      </c>
    </row>
    <row r="427" spans="1:3">
      <c r="A427" t="s">
        <v>54</v>
      </c>
      <c r="B427" t="s">
        <v>140</v>
      </c>
      <c r="C427" t="s">
        <v>5</v>
      </c>
    </row>
    <row r="428" spans="1:3">
      <c r="A428" t="s">
        <v>54</v>
      </c>
      <c r="B428" t="s">
        <v>142</v>
      </c>
      <c r="C428" t="s">
        <v>5</v>
      </c>
    </row>
    <row r="429" spans="1:3">
      <c r="A429" t="s">
        <v>54</v>
      </c>
      <c r="B429" t="s">
        <v>143</v>
      </c>
      <c r="C429" t="s">
        <v>5</v>
      </c>
    </row>
    <row r="430" spans="1:3">
      <c r="A430" t="s">
        <v>54</v>
      </c>
      <c r="B430" t="s">
        <v>166</v>
      </c>
      <c r="C430" t="s">
        <v>5</v>
      </c>
    </row>
    <row r="431" spans="1:3">
      <c r="A431" t="s">
        <v>54</v>
      </c>
      <c r="B431" t="s">
        <v>167</v>
      </c>
      <c r="C431" t="s">
        <v>5</v>
      </c>
    </row>
    <row r="432" spans="1:3">
      <c r="A432" t="s">
        <v>54</v>
      </c>
      <c r="B432" t="s">
        <v>168</v>
      </c>
      <c r="C432" t="s">
        <v>5</v>
      </c>
    </row>
    <row r="433" spans="1:3">
      <c r="A433" t="s">
        <v>54</v>
      </c>
      <c r="B433" t="s">
        <v>170</v>
      </c>
      <c r="C433" t="s">
        <v>5</v>
      </c>
    </row>
    <row r="434" spans="1:3">
      <c r="A434" t="s">
        <v>54</v>
      </c>
      <c r="B434" t="s">
        <v>155</v>
      </c>
      <c r="C434" t="s">
        <v>5</v>
      </c>
    </row>
    <row r="435" spans="1:3">
      <c r="A435" t="s">
        <v>54</v>
      </c>
      <c r="B435" t="s">
        <v>190</v>
      </c>
      <c r="C435" t="s">
        <v>5</v>
      </c>
    </row>
    <row r="436" spans="1:3">
      <c r="A436" t="s">
        <v>54</v>
      </c>
      <c r="B436" t="s">
        <v>147</v>
      </c>
      <c r="C436" t="s">
        <v>5</v>
      </c>
    </row>
    <row r="437" spans="1:3">
      <c r="A437" t="s">
        <v>55</v>
      </c>
      <c r="B437" t="s">
        <v>159</v>
      </c>
      <c r="C437" t="s">
        <v>5</v>
      </c>
    </row>
    <row r="438" spans="1:3">
      <c r="A438" t="s">
        <v>55</v>
      </c>
      <c r="B438" t="s">
        <v>160</v>
      </c>
      <c r="C438" t="s">
        <v>5</v>
      </c>
    </row>
    <row r="439" spans="1:3">
      <c r="A439" t="s">
        <v>55</v>
      </c>
      <c r="B439" t="s">
        <v>150</v>
      </c>
      <c r="C439" t="s">
        <v>5</v>
      </c>
    </row>
    <row r="440" spans="1:3">
      <c r="A440" t="s">
        <v>55</v>
      </c>
      <c r="B440" t="s">
        <v>107</v>
      </c>
      <c r="C440" t="s">
        <v>5</v>
      </c>
    </row>
    <row r="441" spans="1:3">
      <c r="A441" t="s">
        <v>55</v>
      </c>
      <c r="B441" t="s">
        <v>151</v>
      </c>
      <c r="C441" t="s">
        <v>5</v>
      </c>
    </row>
    <row r="442" spans="1:3">
      <c r="A442" t="s">
        <v>55</v>
      </c>
      <c r="B442" t="s">
        <v>112</v>
      </c>
      <c r="C442" t="s">
        <v>5</v>
      </c>
    </row>
    <row r="443" spans="1:3">
      <c r="A443" t="s">
        <v>55</v>
      </c>
      <c r="B443" t="s">
        <v>127</v>
      </c>
      <c r="C443" t="s">
        <v>5</v>
      </c>
    </row>
    <row r="444" spans="1:3">
      <c r="A444" t="s">
        <v>55</v>
      </c>
      <c r="B444" t="s">
        <v>114</v>
      </c>
      <c r="C444" t="s">
        <v>5</v>
      </c>
    </row>
    <row r="445" spans="1:3">
      <c r="A445" t="s">
        <v>55</v>
      </c>
      <c r="B445" t="s">
        <v>152</v>
      </c>
      <c r="C445" t="s">
        <v>5</v>
      </c>
    </row>
    <row r="446" spans="1:3">
      <c r="A446" t="s">
        <v>55</v>
      </c>
      <c r="B446" t="s">
        <v>153</v>
      </c>
      <c r="C446" t="s">
        <v>5</v>
      </c>
    </row>
    <row r="447" spans="1:3">
      <c r="A447" t="s">
        <v>55</v>
      </c>
      <c r="B447" t="s">
        <v>154</v>
      </c>
      <c r="C447" t="s">
        <v>5</v>
      </c>
    </row>
    <row r="448" spans="1:3">
      <c r="A448" t="s">
        <v>55</v>
      </c>
      <c r="B448" t="s">
        <v>118</v>
      </c>
      <c r="C448" t="s">
        <v>5</v>
      </c>
    </row>
    <row r="449" spans="1:3">
      <c r="A449" t="s">
        <v>55</v>
      </c>
      <c r="B449" t="s">
        <v>128</v>
      </c>
      <c r="C449" t="s">
        <v>5</v>
      </c>
    </row>
    <row r="450" spans="1:3">
      <c r="A450" t="s">
        <v>55</v>
      </c>
      <c r="B450" t="s">
        <v>119</v>
      </c>
      <c r="C450" t="s">
        <v>5</v>
      </c>
    </row>
    <row r="451" spans="1:3">
      <c r="A451" t="s">
        <v>55</v>
      </c>
      <c r="B451" t="s">
        <v>129</v>
      </c>
      <c r="C451" t="s">
        <v>5</v>
      </c>
    </row>
    <row r="452" spans="1:3">
      <c r="A452" t="s">
        <v>55</v>
      </c>
      <c r="B452" t="s">
        <v>120</v>
      </c>
      <c r="C452" t="s">
        <v>5</v>
      </c>
    </row>
    <row r="453" spans="1:3">
      <c r="A453" t="s">
        <v>55</v>
      </c>
      <c r="B453" t="s">
        <v>121</v>
      </c>
      <c r="C453" t="s">
        <v>5</v>
      </c>
    </row>
    <row r="454" spans="1:3">
      <c r="A454" t="s">
        <v>55</v>
      </c>
      <c r="B454" t="s">
        <v>122</v>
      </c>
      <c r="C454" t="s">
        <v>5</v>
      </c>
    </row>
    <row r="455" spans="1:3">
      <c r="A455" t="s">
        <v>55</v>
      </c>
      <c r="B455" t="s">
        <v>130</v>
      </c>
      <c r="C455" t="s">
        <v>5</v>
      </c>
    </row>
    <row r="456" spans="1:3">
      <c r="A456" t="s">
        <v>55</v>
      </c>
      <c r="B456" t="s">
        <v>133</v>
      </c>
      <c r="C456" t="s">
        <v>5</v>
      </c>
    </row>
    <row r="457" spans="1:3">
      <c r="A457" t="s">
        <v>55</v>
      </c>
      <c r="B457" t="s">
        <v>134</v>
      </c>
      <c r="C457" t="s">
        <v>5</v>
      </c>
    </row>
    <row r="458" spans="1:3">
      <c r="A458" t="s">
        <v>55</v>
      </c>
      <c r="B458" t="s">
        <v>135</v>
      </c>
      <c r="C458" t="s">
        <v>5</v>
      </c>
    </row>
    <row r="459" spans="1:3">
      <c r="A459" t="s">
        <v>55</v>
      </c>
      <c r="B459" t="s">
        <v>136</v>
      </c>
      <c r="C459" t="s">
        <v>5</v>
      </c>
    </row>
    <row r="460" spans="1:3">
      <c r="A460" t="s">
        <v>55</v>
      </c>
      <c r="B460" t="s">
        <v>137</v>
      </c>
      <c r="C460" t="s">
        <v>5</v>
      </c>
    </row>
    <row r="461" spans="1:3">
      <c r="A461" t="s">
        <v>55</v>
      </c>
      <c r="B461" t="s">
        <v>138</v>
      </c>
      <c r="C461" t="s">
        <v>5</v>
      </c>
    </row>
    <row r="462" spans="1:3">
      <c r="A462" t="s">
        <v>55</v>
      </c>
      <c r="B462" t="s">
        <v>140</v>
      </c>
      <c r="C462" t="s">
        <v>5</v>
      </c>
    </row>
    <row r="463" spans="1:3">
      <c r="A463" t="s">
        <v>55</v>
      </c>
      <c r="B463" t="s">
        <v>141</v>
      </c>
      <c r="C463" t="s">
        <v>5</v>
      </c>
    </row>
    <row r="464" spans="1:3">
      <c r="A464" t="s">
        <v>55</v>
      </c>
      <c r="B464" t="s">
        <v>142</v>
      </c>
      <c r="C464" t="s">
        <v>5</v>
      </c>
    </row>
    <row r="465" spans="1:3">
      <c r="A465" t="s">
        <v>55</v>
      </c>
      <c r="B465" t="s">
        <v>143</v>
      </c>
      <c r="C465" t="s">
        <v>5</v>
      </c>
    </row>
    <row r="466" spans="1:3">
      <c r="A466" t="s">
        <v>55</v>
      </c>
      <c r="B466" t="s">
        <v>155</v>
      </c>
      <c r="C466" t="s">
        <v>5</v>
      </c>
    </row>
    <row r="467" spans="1:3">
      <c r="A467" t="s">
        <v>55</v>
      </c>
      <c r="B467" t="s">
        <v>144</v>
      </c>
      <c r="C467" t="s">
        <v>5</v>
      </c>
    </row>
    <row r="468" spans="1:3">
      <c r="A468" t="s">
        <v>56</v>
      </c>
      <c r="B468" t="s">
        <v>150</v>
      </c>
      <c r="C468" t="s">
        <v>5</v>
      </c>
    </row>
    <row r="469" spans="1:3">
      <c r="A469" t="s">
        <v>56</v>
      </c>
      <c r="B469" t="s">
        <v>107</v>
      </c>
      <c r="C469" t="s">
        <v>5</v>
      </c>
    </row>
    <row r="470" spans="1:3">
      <c r="A470" t="s">
        <v>56</v>
      </c>
      <c r="B470" t="s">
        <v>151</v>
      </c>
      <c r="C470" t="s">
        <v>5</v>
      </c>
    </row>
    <row r="471" spans="1:3">
      <c r="A471" t="s">
        <v>56</v>
      </c>
      <c r="B471" t="s">
        <v>112</v>
      </c>
      <c r="C471" t="s">
        <v>5</v>
      </c>
    </row>
    <row r="472" spans="1:3">
      <c r="A472" t="s">
        <v>56</v>
      </c>
      <c r="B472" t="s">
        <v>127</v>
      </c>
      <c r="C472" t="s">
        <v>5</v>
      </c>
    </row>
    <row r="473" spans="1:3">
      <c r="A473" t="s">
        <v>56</v>
      </c>
      <c r="B473" t="s">
        <v>114</v>
      </c>
      <c r="C473" t="s">
        <v>5</v>
      </c>
    </row>
    <row r="474" spans="1:3">
      <c r="A474" t="s">
        <v>56</v>
      </c>
      <c r="B474" t="s">
        <v>152</v>
      </c>
      <c r="C474" t="s">
        <v>5</v>
      </c>
    </row>
    <row r="475" spans="1:3">
      <c r="A475" t="s">
        <v>56</v>
      </c>
      <c r="B475" t="s">
        <v>153</v>
      </c>
      <c r="C475" t="s">
        <v>5</v>
      </c>
    </row>
    <row r="476" spans="1:3">
      <c r="A476" t="s">
        <v>56</v>
      </c>
      <c r="B476" t="s">
        <v>118</v>
      </c>
      <c r="C476" t="s">
        <v>5</v>
      </c>
    </row>
    <row r="477" spans="1:3">
      <c r="A477" t="s">
        <v>56</v>
      </c>
      <c r="B477" t="s">
        <v>121</v>
      </c>
      <c r="C477" t="s">
        <v>5</v>
      </c>
    </row>
    <row r="478" spans="1:3">
      <c r="A478" t="s">
        <v>56</v>
      </c>
      <c r="B478" t="s">
        <v>130</v>
      </c>
      <c r="C478" t="s">
        <v>5</v>
      </c>
    </row>
    <row r="479" spans="1:3">
      <c r="A479" t="s">
        <v>56</v>
      </c>
      <c r="B479" t="s">
        <v>134</v>
      </c>
      <c r="C479" t="s">
        <v>5</v>
      </c>
    </row>
    <row r="480" spans="1:3">
      <c r="A480" t="s">
        <v>56</v>
      </c>
      <c r="B480" t="s">
        <v>135</v>
      </c>
      <c r="C480" t="s">
        <v>5</v>
      </c>
    </row>
    <row r="481" spans="1:3">
      <c r="A481" t="s">
        <v>56</v>
      </c>
      <c r="B481" t="s">
        <v>138</v>
      </c>
      <c r="C481" t="s">
        <v>5</v>
      </c>
    </row>
    <row r="482" spans="1:3">
      <c r="A482" t="s">
        <v>56</v>
      </c>
      <c r="B482" t="s">
        <v>139</v>
      </c>
      <c r="C482" t="s">
        <v>5</v>
      </c>
    </row>
    <row r="483" spans="1:3">
      <c r="A483" t="s">
        <v>56</v>
      </c>
      <c r="B483" t="s">
        <v>140</v>
      </c>
      <c r="C483" t="s">
        <v>5</v>
      </c>
    </row>
    <row r="484" spans="1:3">
      <c r="A484" t="s">
        <v>56</v>
      </c>
      <c r="B484" t="s">
        <v>142</v>
      </c>
      <c r="C484" t="s">
        <v>5</v>
      </c>
    </row>
    <row r="485" spans="1:3">
      <c r="A485" t="s">
        <v>56</v>
      </c>
      <c r="B485" t="s">
        <v>143</v>
      </c>
      <c r="C485" t="s">
        <v>5</v>
      </c>
    </row>
    <row r="486" spans="1:3">
      <c r="A486" t="s">
        <v>56</v>
      </c>
      <c r="B486" t="s">
        <v>155</v>
      </c>
      <c r="C486" t="s">
        <v>5</v>
      </c>
    </row>
    <row r="487" spans="1:3">
      <c r="A487" t="s">
        <v>56</v>
      </c>
      <c r="B487" t="s">
        <v>147</v>
      </c>
      <c r="C487" t="s">
        <v>5</v>
      </c>
    </row>
    <row r="488" spans="1:3">
      <c r="A488" t="s">
        <v>57</v>
      </c>
      <c r="B488" t="s">
        <v>160</v>
      </c>
      <c r="C488" t="s">
        <v>5</v>
      </c>
    </row>
    <row r="489" spans="1:3">
      <c r="A489" t="s">
        <v>57</v>
      </c>
      <c r="B489" t="s">
        <v>150</v>
      </c>
      <c r="C489" t="s">
        <v>5</v>
      </c>
    </row>
    <row r="490" spans="1:3">
      <c r="A490" t="s">
        <v>57</v>
      </c>
      <c r="B490" t="s">
        <v>107</v>
      </c>
      <c r="C490" t="s">
        <v>5</v>
      </c>
    </row>
    <row r="491" spans="1:3">
      <c r="A491" t="s">
        <v>57</v>
      </c>
      <c r="B491" t="s">
        <v>151</v>
      </c>
      <c r="C491" t="s">
        <v>5</v>
      </c>
    </row>
    <row r="492" spans="1:3">
      <c r="A492" t="s">
        <v>57</v>
      </c>
      <c r="B492" t="s">
        <v>112</v>
      </c>
      <c r="C492" t="s">
        <v>5</v>
      </c>
    </row>
    <row r="493" spans="1:3">
      <c r="A493" t="s">
        <v>57</v>
      </c>
      <c r="B493" t="s">
        <v>127</v>
      </c>
      <c r="C493" t="s">
        <v>5</v>
      </c>
    </row>
    <row r="494" spans="1:3">
      <c r="A494" t="s">
        <v>57</v>
      </c>
      <c r="B494" t="s">
        <v>114</v>
      </c>
      <c r="C494" t="s">
        <v>5</v>
      </c>
    </row>
    <row r="495" spans="1:3">
      <c r="A495" t="s">
        <v>57</v>
      </c>
      <c r="B495" t="s">
        <v>153</v>
      </c>
      <c r="C495" t="s">
        <v>5</v>
      </c>
    </row>
    <row r="496" spans="1:3">
      <c r="A496" t="s">
        <v>57</v>
      </c>
      <c r="B496" t="s">
        <v>118</v>
      </c>
      <c r="C496" t="s">
        <v>5</v>
      </c>
    </row>
    <row r="497" spans="1:3">
      <c r="A497" t="s">
        <v>57</v>
      </c>
      <c r="B497" t="s">
        <v>121</v>
      </c>
      <c r="C497" t="s">
        <v>5</v>
      </c>
    </row>
    <row r="498" spans="1:3">
      <c r="A498" t="s">
        <v>57</v>
      </c>
      <c r="B498" t="s">
        <v>130</v>
      </c>
      <c r="C498" t="s">
        <v>5</v>
      </c>
    </row>
    <row r="499" spans="1:3">
      <c r="A499" t="s">
        <v>57</v>
      </c>
      <c r="B499" t="s">
        <v>134</v>
      </c>
      <c r="C499" t="s">
        <v>5</v>
      </c>
    </row>
    <row r="500" spans="1:3">
      <c r="A500" t="s">
        <v>57</v>
      </c>
      <c r="B500" t="s">
        <v>135</v>
      </c>
      <c r="C500" t="s">
        <v>5</v>
      </c>
    </row>
    <row r="501" spans="1:3">
      <c r="A501" t="s">
        <v>57</v>
      </c>
      <c r="B501" t="s">
        <v>138</v>
      </c>
      <c r="C501" t="s">
        <v>5</v>
      </c>
    </row>
    <row r="502" spans="1:3">
      <c r="A502" t="s">
        <v>57</v>
      </c>
      <c r="B502" t="s">
        <v>139</v>
      </c>
      <c r="C502" t="s">
        <v>5</v>
      </c>
    </row>
    <row r="503" spans="1:3">
      <c r="A503" t="s">
        <v>57</v>
      </c>
      <c r="B503" t="s">
        <v>140</v>
      </c>
      <c r="C503" t="s">
        <v>5</v>
      </c>
    </row>
    <row r="504" spans="1:3">
      <c r="A504" t="s">
        <v>57</v>
      </c>
      <c r="B504" t="s">
        <v>142</v>
      </c>
      <c r="C504" t="s">
        <v>5</v>
      </c>
    </row>
    <row r="505" spans="1:3">
      <c r="A505" t="s">
        <v>57</v>
      </c>
      <c r="B505" t="s">
        <v>143</v>
      </c>
      <c r="C505" t="s">
        <v>5</v>
      </c>
    </row>
    <row r="506" spans="1:3">
      <c r="A506" t="s">
        <v>57</v>
      </c>
      <c r="B506" t="s">
        <v>155</v>
      </c>
      <c r="C506" t="s">
        <v>5</v>
      </c>
    </row>
    <row r="507" spans="1:3">
      <c r="A507" t="s">
        <v>58</v>
      </c>
      <c r="B507" t="s">
        <v>150</v>
      </c>
      <c r="C507" t="s">
        <v>5</v>
      </c>
    </row>
    <row r="508" spans="1:3">
      <c r="A508" t="s">
        <v>58</v>
      </c>
      <c r="B508" t="s">
        <v>107</v>
      </c>
      <c r="C508" t="s">
        <v>5</v>
      </c>
    </row>
    <row r="509" spans="1:3">
      <c r="A509" t="s">
        <v>58</v>
      </c>
      <c r="B509" t="s">
        <v>151</v>
      </c>
      <c r="C509" t="s">
        <v>5</v>
      </c>
    </row>
    <row r="510" spans="1:3">
      <c r="A510" t="s">
        <v>58</v>
      </c>
      <c r="B510" t="s">
        <v>112</v>
      </c>
      <c r="C510" t="s">
        <v>5</v>
      </c>
    </row>
    <row r="511" spans="1:3">
      <c r="A511" t="s">
        <v>58</v>
      </c>
      <c r="B511" t="s">
        <v>127</v>
      </c>
      <c r="C511" t="s">
        <v>5</v>
      </c>
    </row>
    <row r="512" spans="1:3">
      <c r="A512" t="s">
        <v>58</v>
      </c>
      <c r="B512" t="s">
        <v>114</v>
      </c>
      <c r="C512" t="s">
        <v>5</v>
      </c>
    </row>
    <row r="513" spans="1:3">
      <c r="A513" t="s">
        <v>58</v>
      </c>
      <c r="B513" t="s">
        <v>153</v>
      </c>
      <c r="C513" t="s">
        <v>5</v>
      </c>
    </row>
    <row r="514" spans="1:3">
      <c r="A514" t="s">
        <v>58</v>
      </c>
      <c r="B514" t="s">
        <v>118</v>
      </c>
      <c r="C514" t="s">
        <v>5</v>
      </c>
    </row>
    <row r="515" spans="1:3">
      <c r="A515" t="s">
        <v>58</v>
      </c>
      <c r="B515" t="s">
        <v>121</v>
      </c>
      <c r="C515" t="s">
        <v>5</v>
      </c>
    </row>
    <row r="516" spans="1:3">
      <c r="A516" t="s">
        <v>58</v>
      </c>
      <c r="B516" t="s">
        <v>130</v>
      </c>
      <c r="C516" t="s">
        <v>5</v>
      </c>
    </row>
    <row r="517" spans="1:3">
      <c r="A517" t="s">
        <v>58</v>
      </c>
      <c r="B517" t="s">
        <v>134</v>
      </c>
      <c r="C517" t="s">
        <v>5</v>
      </c>
    </row>
    <row r="518" spans="1:3">
      <c r="A518" t="s">
        <v>58</v>
      </c>
      <c r="B518" t="s">
        <v>135</v>
      </c>
      <c r="C518" t="s">
        <v>5</v>
      </c>
    </row>
    <row r="519" spans="1:3">
      <c r="A519" t="s">
        <v>58</v>
      </c>
      <c r="B519" t="s">
        <v>138</v>
      </c>
      <c r="C519" t="s">
        <v>5</v>
      </c>
    </row>
    <row r="520" spans="1:3">
      <c r="A520" t="s">
        <v>58</v>
      </c>
      <c r="B520" t="s">
        <v>139</v>
      </c>
      <c r="C520" t="s">
        <v>5</v>
      </c>
    </row>
    <row r="521" spans="1:3">
      <c r="A521" t="s">
        <v>58</v>
      </c>
      <c r="B521" t="s">
        <v>140</v>
      </c>
      <c r="C521" t="s">
        <v>5</v>
      </c>
    </row>
    <row r="522" spans="1:3">
      <c r="A522" t="s">
        <v>58</v>
      </c>
      <c r="B522" t="s">
        <v>142</v>
      </c>
      <c r="C522" t="s">
        <v>5</v>
      </c>
    </row>
    <row r="523" spans="1:3">
      <c r="A523" t="s">
        <v>58</v>
      </c>
      <c r="B523" t="s">
        <v>143</v>
      </c>
      <c r="C523" t="s">
        <v>5</v>
      </c>
    </row>
    <row r="524" spans="1:3">
      <c r="A524" t="s">
        <v>58</v>
      </c>
      <c r="B524" t="s">
        <v>155</v>
      </c>
      <c r="C524" t="s">
        <v>5</v>
      </c>
    </row>
    <row r="525" spans="1:3">
      <c r="A525" t="s">
        <v>59</v>
      </c>
      <c r="B525" t="s">
        <v>150</v>
      </c>
      <c r="C525" t="s">
        <v>5</v>
      </c>
    </row>
    <row r="526" spans="1:3">
      <c r="A526" t="s">
        <v>59</v>
      </c>
      <c r="B526" t="s">
        <v>107</v>
      </c>
      <c r="C526" t="s">
        <v>5</v>
      </c>
    </row>
    <row r="527" spans="1:3">
      <c r="A527" t="s">
        <v>59</v>
      </c>
      <c r="B527" t="s">
        <v>151</v>
      </c>
      <c r="C527" t="s">
        <v>5</v>
      </c>
    </row>
    <row r="528" spans="1:3">
      <c r="A528" t="s">
        <v>59</v>
      </c>
      <c r="B528" t="s">
        <v>112</v>
      </c>
      <c r="C528" t="s">
        <v>5</v>
      </c>
    </row>
    <row r="529" spans="1:3">
      <c r="A529" t="s">
        <v>59</v>
      </c>
      <c r="B529" t="s">
        <v>127</v>
      </c>
      <c r="C529" t="s">
        <v>5</v>
      </c>
    </row>
    <row r="530" spans="1:3">
      <c r="A530" t="s">
        <v>59</v>
      </c>
      <c r="B530" t="s">
        <v>114</v>
      </c>
      <c r="C530" t="s">
        <v>5</v>
      </c>
    </row>
    <row r="531" spans="1:3">
      <c r="A531" t="s">
        <v>59</v>
      </c>
      <c r="B531" t="s">
        <v>153</v>
      </c>
      <c r="C531" t="s">
        <v>5</v>
      </c>
    </row>
    <row r="532" spans="1:3">
      <c r="A532" t="s">
        <v>59</v>
      </c>
      <c r="B532" t="s">
        <v>118</v>
      </c>
      <c r="C532" t="s">
        <v>5</v>
      </c>
    </row>
    <row r="533" spans="1:3">
      <c r="A533" t="s">
        <v>59</v>
      </c>
      <c r="B533" t="s">
        <v>121</v>
      </c>
      <c r="C533" t="s">
        <v>5</v>
      </c>
    </row>
    <row r="534" spans="1:3">
      <c r="A534" t="s">
        <v>59</v>
      </c>
      <c r="B534" t="s">
        <v>130</v>
      </c>
      <c r="C534" t="s">
        <v>5</v>
      </c>
    </row>
    <row r="535" spans="1:3">
      <c r="A535" t="s">
        <v>59</v>
      </c>
      <c r="B535" t="s">
        <v>134</v>
      </c>
      <c r="C535" t="s">
        <v>5</v>
      </c>
    </row>
    <row r="536" spans="1:3">
      <c r="A536" t="s">
        <v>59</v>
      </c>
      <c r="B536" t="s">
        <v>135</v>
      </c>
      <c r="C536" t="s">
        <v>5</v>
      </c>
    </row>
    <row r="537" spans="1:3">
      <c r="A537" t="s">
        <v>59</v>
      </c>
      <c r="B537" t="s">
        <v>138</v>
      </c>
      <c r="C537" t="s">
        <v>5</v>
      </c>
    </row>
    <row r="538" spans="1:3">
      <c r="A538" t="s">
        <v>59</v>
      </c>
      <c r="B538" t="s">
        <v>139</v>
      </c>
      <c r="C538" t="s">
        <v>5</v>
      </c>
    </row>
    <row r="539" spans="1:3">
      <c r="A539" t="s">
        <v>59</v>
      </c>
      <c r="B539" t="s">
        <v>140</v>
      </c>
      <c r="C539" t="s">
        <v>5</v>
      </c>
    </row>
    <row r="540" spans="1:3">
      <c r="A540" t="s">
        <v>59</v>
      </c>
      <c r="B540" t="s">
        <v>142</v>
      </c>
      <c r="C540" t="s">
        <v>5</v>
      </c>
    </row>
    <row r="541" spans="1:3">
      <c r="A541" t="s">
        <v>59</v>
      </c>
      <c r="B541" t="s">
        <v>143</v>
      </c>
      <c r="C541" t="s">
        <v>5</v>
      </c>
    </row>
    <row r="542" spans="1:3">
      <c r="A542" t="s">
        <v>59</v>
      </c>
      <c r="B542" t="s">
        <v>155</v>
      </c>
      <c r="C542" t="s">
        <v>5</v>
      </c>
    </row>
    <row r="543" spans="1:3">
      <c r="A543" t="s">
        <v>60</v>
      </c>
      <c r="B543" t="s">
        <v>160</v>
      </c>
      <c r="C543" t="s">
        <v>5</v>
      </c>
    </row>
    <row r="544" spans="1:3">
      <c r="A544" t="s">
        <v>60</v>
      </c>
      <c r="B544" t="s">
        <v>107</v>
      </c>
      <c r="C544" t="s">
        <v>5</v>
      </c>
    </row>
    <row r="545" spans="1:3">
      <c r="A545" t="s">
        <v>60</v>
      </c>
      <c r="B545" t="s">
        <v>112</v>
      </c>
      <c r="C545" t="s">
        <v>5</v>
      </c>
    </row>
    <row r="546" spans="1:3">
      <c r="A546" t="s">
        <v>60</v>
      </c>
      <c r="B546" t="s">
        <v>114</v>
      </c>
      <c r="C546" t="s">
        <v>5</v>
      </c>
    </row>
    <row r="547" spans="1:3">
      <c r="A547" t="s">
        <v>60</v>
      </c>
      <c r="B547" t="s">
        <v>118</v>
      </c>
      <c r="C547" t="s">
        <v>5</v>
      </c>
    </row>
    <row r="548" spans="1:3">
      <c r="A548" t="s">
        <v>60</v>
      </c>
      <c r="B548" t="s">
        <v>119</v>
      </c>
      <c r="C548" t="s">
        <v>5</v>
      </c>
    </row>
    <row r="549" spans="1:3">
      <c r="A549" t="s">
        <v>60</v>
      </c>
      <c r="B549" t="s">
        <v>120</v>
      </c>
      <c r="C549" t="s">
        <v>5</v>
      </c>
    </row>
    <row r="550" spans="1:3">
      <c r="A550" t="s">
        <v>60</v>
      </c>
      <c r="B550" t="s">
        <v>121</v>
      </c>
      <c r="C550" t="s">
        <v>5</v>
      </c>
    </row>
    <row r="551" spans="1:3">
      <c r="A551" t="s">
        <v>60</v>
      </c>
      <c r="B551" t="s">
        <v>122</v>
      </c>
      <c r="C551" t="s">
        <v>5</v>
      </c>
    </row>
    <row r="552" spans="1:3">
      <c r="A552" t="s">
        <v>60</v>
      </c>
      <c r="B552" t="s">
        <v>134</v>
      </c>
      <c r="C552" t="s">
        <v>5</v>
      </c>
    </row>
    <row r="553" spans="1:3">
      <c r="A553" t="s">
        <v>60</v>
      </c>
      <c r="B553" t="s">
        <v>137</v>
      </c>
      <c r="C553" t="s">
        <v>5</v>
      </c>
    </row>
    <row r="554" spans="1:3">
      <c r="A554" t="s">
        <v>60</v>
      </c>
      <c r="B554" t="s">
        <v>139</v>
      </c>
      <c r="C554" t="s">
        <v>5</v>
      </c>
    </row>
    <row r="555" spans="1:3">
      <c r="A555" t="s">
        <v>60</v>
      </c>
      <c r="B555" t="s">
        <v>141</v>
      </c>
      <c r="C555" t="s">
        <v>5</v>
      </c>
    </row>
    <row r="556" spans="1:3">
      <c r="A556" t="s">
        <v>60</v>
      </c>
      <c r="B556" t="s">
        <v>143</v>
      </c>
      <c r="C556" t="s">
        <v>5</v>
      </c>
    </row>
    <row r="557" spans="1:3">
      <c r="A557" t="s">
        <v>60</v>
      </c>
      <c r="B557" t="s">
        <v>144</v>
      </c>
      <c r="C557" t="s">
        <v>5</v>
      </c>
    </row>
    <row r="558" spans="1:3">
      <c r="A558" t="s">
        <v>62</v>
      </c>
      <c r="B558" t="s">
        <v>159</v>
      </c>
      <c r="C558" t="s">
        <v>5</v>
      </c>
    </row>
    <row r="559" spans="1:3">
      <c r="A559" t="s">
        <v>62</v>
      </c>
      <c r="B559" t="s">
        <v>160</v>
      </c>
      <c r="C559" t="s">
        <v>5</v>
      </c>
    </row>
    <row r="560" spans="1:3">
      <c r="A560" t="s">
        <v>62</v>
      </c>
      <c r="B560" t="s">
        <v>150</v>
      </c>
      <c r="C560" t="s">
        <v>5</v>
      </c>
    </row>
    <row r="561" spans="1:3">
      <c r="A561" t="s">
        <v>62</v>
      </c>
      <c r="B561" t="s">
        <v>107</v>
      </c>
      <c r="C561" t="s">
        <v>5</v>
      </c>
    </row>
    <row r="562" spans="1:3">
      <c r="A562" t="s">
        <v>62</v>
      </c>
      <c r="B562" t="s">
        <v>151</v>
      </c>
      <c r="C562" t="s">
        <v>5</v>
      </c>
    </row>
    <row r="563" spans="1:3">
      <c r="A563" t="s">
        <v>62</v>
      </c>
      <c r="B563" t="s">
        <v>112</v>
      </c>
      <c r="C563" t="s">
        <v>5</v>
      </c>
    </row>
    <row r="564" spans="1:3">
      <c r="A564" t="s">
        <v>62</v>
      </c>
      <c r="B564" t="s">
        <v>127</v>
      </c>
      <c r="C564" t="s">
        <v>5</v>
      </c>
    </row>
    <row r="565" spans="1:3">
      <c r="A565" t="s">
        <v>62</v>
      </c>
      <c r="B565" t="s">
        <v>114</v>
      </c>
      <c r="C565" t="s">
        <v>5</v>
      </c>
    </row>
    <row r="566" spans="1:3">
      <c r="A566" t="s">
        <v>62</v>
      </c>
      <c r="B566" t="s">
        <v>152</v>
      </c>
      <c r="C566" t="s">
        <v>5</v>
      </c>
    </row>
    <row r="567" spans="1:3">
      <c r="A567" t="s">
        <v>62</v>
      </c>
      <c r="B567" t="s">
        <v>116</v>
      </c>
      <c r="C567" t="s">
        <v>5</v>
      </c>
    </row>
    <row r="568" spans="1:3">
      <c r="A568" t="s">
        <v>62</v>
      </c>
      <c r="B568" t="s">
        <v>153</v>
      </c>
      <c r="C568" t="s">
        <v>5</v>
      </c>
    </row>
    <row r="569" spans="1:3">
      <c r="A569" t="s">
        <v>62</v>
      </c>
      <c r="B569" t="s">
        <v>117</v>
      </c>
      <c r="C569" t="s">
        <v>5</v>
      </c>
    </row>
    <row r="570" spans="1:3">
      <c r="A570" t="s">
        <v>62</v>
      </c>
      <c r="B570" t="s">
        <v>154</v>
      </c>
      <c r="C570" t="s">
        <v>5</v>
      </c>
    </row>
    <row r="571" spans="1:3">
      <c r="A571" t="s">
        <v>62</v>
      </c>
      <c r="B571" t="s">
        <v>118</v>
      </c>
      <c r="C571" t="s">
        <v>5</v>
      </c>
    </row>
    <row r="572" spans="1:3">
      <c r="A572" t="s">
        <v>62</v>
      </c>
      <c r="B572" t="s">
        <v>128</v>
      </c>
      <c r="C572" t="s">
        <v>5</v>
      </c>
    </row>
    <row r="573" spans="1:3">
      <c r="A573" t="s">
        <v>62</v>
      </c>
      <c r="B573" t="s">
        <v>119</v>
      </c>
      <c r="C573" t="s">
        <v>5</v>
      </c>
    </row>
    <row r="574" spans="1:3">
      <c r="A574" t="s">
        <v>62</v>
      </c>
      <c r="B574" t="s">
        <v>129</v>
      </c>
      <c r="C574" t="s">
        <v>5</v>
      </c>
    </row>
    <row r="575" spans="1:3">
      <c r="A575" t="s">
        <v>62</v>
      </c>
      <c r="B575" t="s">
        <v>120</v>
      </c>
      <c r="C575" t="s">
        <v>5</v>
      </c>
    </row>
    <row r="576" spans="1:3">
      <c r="A576" t="s">
        <v>62</v>
      </c>
      <c r="B576" t="s">
        <v>121</v>
      </c>
      <c r="C576" t="s">
        <v>5</v>
      </c>
    </row>
    <row r="577" spans="1:3">
      <c r="A577" t="s">
        <v>62</v>
      </c>
      <c r="B577" t="s">
        <v>122</v>
      </c>
      <c r="C577" t="s">
        <v>5</v>
      </c>
    </row>
    <row r="578" spans="1:3">
      <c r="A578" t="s">
        <v>62</v>
      </c>
      <c r="B578" t="s">
        <v>130</v>
      </c>
      <c r="C578" t="s">
        <v>5</v>
      </c>
    </row>
    <row r="579" spans="1:3">
      <c r="A579" t="s">
        <v>62</v>
      </c>
      <c r="B579" t="s">
        <v>123</v>
      </c>
      <c r="C579" t="s">
        <v>5</v>
      </c>
    </row>
    <row r="580" spans="1:3">
      <c r="A580" t="s">
        <v>62</v>
      </c>
      <c r="B580" t="s">
        <v>134</v>
      </c>
      <c r="C580" t="s">
        <v>5</v>
      </c>
    </row>
    <row r="581" spans="1:3">
      <c r="A581" t="s">
        <v>62</v>
      </c>
      <c r="B581" t="s">
        <v>135</v>
      </c>
      <c r="C581" t="s">
        <v>5</v>
      </c>
    </row>
    <row r="582" spans="1:3">
      <c r="A582" t="s">
        <v>62</v>
      </c>
      <c r="B582" t="s">
        <v>124</v>
      </c>
      <c r="C582" t="s">
        <v>5</v>
      </c>
    </row>
    <row r="583" spans="1:3">
      <c r="A583" t="s">
        <v>62</v>
      </c>
      <c r="B583" t="s">
        <v>137</v>
      </c>
      <c r="C583" t="s">
        <v>5</v>
      </c>
    </row>
    <row r="584" spans="1:3">
      <c r="A584" t="s">
        <v>62</v>
      </c>
      <c r="B584" t="s">
        <v>138</v>
      </c>
      <c r="C584" t="s">
        <v>5</v>
      </c>
    </row>
    <row r="585" spans="1:3">
      <c r="A585" t="s">
        <v>62</v>
      </c>
      <c r="B585" t="s">
        <v>139</v>
      </c>
      <c r="C585" t="s">
        <v>5</v>
      </c>
    </row>
    <row r="586" spans="1:3">
      <c r="A586" t="s">
        <v>62</v>
      </c>
      <c r="B586" t="s">
        <v>140</v>
      </c>
      <c r="C586" t="s">
        <v>5</v>
      </c>
    </row>
    <row r="587" spans="1:3">
      <c r="A587" t="s">
        <v>62</v>
      </c>
      <c r="B587" t="s">
        <v>141</v>
      </c>
      <c r="C587" t="s">
        <v>5</v>
      </c>
    </row>
    <row r="588" spans="1:3">
      <c r="A588" t="s">
        <v>62</v>
      </c>
      <c r="B588" t="s">
        <v>142</v>
      </c>
      <c r="C588" t="s">
        <v>5</v>
      </c>
    </row>
    <row r="589" spans="1:3">
      <c r="A589" t="s">
        <v>62</v>
      </c>
      <c r="B589" t="s">
        <v>143</v>
      </c>
      <c r="C589" t="s">
        <v>5</v>
      </c>
    </row>
    <row r="590" spans="1:3">
      <c r="A590" t="s">
        <v>62</v>
      </c>
      <c r="B590" t="s">
        <v>155</v>
      </c>
      <c r="C590" t="s">
        <v>5</v>
      </c>
    </row>
    <row r="591" spans="1:3">
      <c r="A591" t="s">
        <v>62</v>
      </c>
      <c r="B591" t="s">
        <v>144</v>
      </c>
      <c r="C591" t="s">
        <v>5</v>
      </c>
    </row>
    <row r="592" spans="1:3">
      <c r="A592" t="s">
        <v>63</v>
      </c>
      <c r="B592" t="s">
        <v>160</v>
      </c>
      <c r="C592" t="s">
        <v>5</v>
      </c>
    </row>
    <row r="593" spans="1:3">
      <c r="A593" t="s">
        <v>63</v>
      </c>
      <c r="B593" t="s">
        <v>107</v>
      </c>
      <c r="C593" t="s">
        <v>5</v>
      </c>
    </row>
    <row r="594" spans="1:3">
      <c r="A594" t="s">
        <v>63</v>
      </c>
      <c r="B594" t="s">
        <v>151</v>
      </c>
      <c r="C594" t="s">
        <v>5</v>
      </c>
    </row>
    <row r="595" spans="1:3">
      <c r="A595" t="s">
        <v>63</v>
      </c>
      <c r="B595" t="s">
        <v>112</v>
      </c>
      <c r="C595" t="s">
        <v>5</v>
      </c>
    </row>
    <row r="596" spans="1:3">
      <c r="A596" t="s">
        <v>63</v>
      </c>
      <c r="B596" t="s">
        <v>114</v>
      </c>
      <c r="C596" t="s">
        <v>5</v>
      </c>
    </row>
    <row r="597" spans="1:3">
      <c r="A597" t="s">
        <v>63</v>
      </c>
      <c r="B597" t="s">
        <v>118</v>
      </c>
      <c r="C597" t="s">
        <v>5</v>
      </c>
    </row>
    <row r="598" spans="1:3">
      <c r="A598" t="s">
        <v>63</v>
      </c>
      <c r="B598" t="s">
        <v>119</v>
      </c>
      <c r="C598" t="s">
        <v>5</v>
      </c>
    </row>
    <row r="599" spans="1:3">
      <c r="A599" t="s">
        <v>63</v>
      </c>
      <c r="B599" t="s">
        <v>120</v>
      </c>
      <c r="C599" t="s">
        <v>5</v>
      </c>
    </row>
    <row r="600" spans="1:3">
      <c r="A600" t="s">
        <v>63</v>
      </c>
      <c r="B600" t="s">
        <v>121</v>
      </c>
      <c r="C600" t="s">
        <v>5</v>
      </c>
    </row>
    <row r="601" spans="1:3">
      <c r="A601" t="s">
        <v>63</v>
      </c>
      <c r="B601" t="s">
        <v>122</v>
      </c>
      <c r="C601" t="s">
        <v>5</v>
      </c>
    </row>
    <row r="602" spans="1:3">
      <c r="A602" t="s">
        <v>63</v>
      </c>
      <c r="B602" t="s">
        <v>133</v>
      </c>
      <c r="C602" t="s">
        <v>5</v>
      </c>
    </row>
    <row r="603" spans="1:3">
      <c r="A603" t="s">
        <v>63</v>
      </c>
      <c r="B603" t="s">
        <v>134</v>
      </c>
      <c r="C603" t="s">
        <v>5</v>
      </c>
    </row>
    <row r="604" spans="1:3">
      <c r="A604" t="s">
        <v>63</v>
      </c>
      <c r="B604" t="s">
        <v>145</v>
      </c>
      <c r="C604" t="s">
        <v>5</v>
      </c>
    </row>
    <row r="605" spans="1:3">
      <c r="A605" t="s">
        <v>63</v>
      </c>
      <c r="B605" t="s">
        <v>137</v>
      </c>
      <c r="C605" t="s">
        <v>5</v>
      </c>
    </row>
    <row r="606" spans="1:3">
      <c r="A606" t="s">
        <v>63</v>
      </c>
      <c r="B606" t="s">
        <v>139</v>
      </c>
      <c r="C606" t="s">
        <v>5</v>
      </c>
    </row>
    <row r="607" spans="1:3">
      <c r="A607" t="s">
        <v>63</v>
      </c>
      <c r="B607" t="s">
        <v>141</v>
      </c>
      <c r="C607" t="s">
        <v>5</v>
      </c>
    </row>
    <row r="608" spans="1:3">
      <c r="A608" t="s">
        <v>63</v>
      </c>
      <c r="B608" t="s">
        <v>143</v>
      </c>
      <c r="C608" t="s">
        <v>5</v>
      </c>
    </row>
    <row r="609" spans="1:3">
      <c r="A609" t="s">
        <v>63</v>
      </c>
      <c r="B609" t="s">
        <v>155</v>
      </c>
      <c r="C609" t="s">
        <v>5</v>
      </c>
    </row>
    <row r="610" spans="1:3">
      <c r="A610" t="s">
        <v>63</v>
      </c>
      <c r="B610" t="s">
        <v>144</v>
      </c>
      <c r="C610" t="s">
        <v>5</v>
      </c>
    </row>
    <row r="611" spans="1:3">
      <c r="A611" t="s">
        <v>64</v>
      </c>
      <c r="B611" t="s">
        <v>150</v>
      </c>
      <c r="C611" t="s">
        <v>5</v>
      </c>
    </row>
    <row r="612" spans="1:3">
      <c r="A612" t="s">
        <v>64</v>
      </c>
      <c r="B612" t="s">
        <v>151</v>
      </c>
      <c r="C612" t="s">
        <v>5</v>
      </c>
    </row>
    <row r="613" spans="1:3">
      <c r="A613" t="s">
        <v>64</v>
      </c>
      <c r="B613" t="s">
        <v>127</v>
      </c>
      <c r="C613" t="s">
        <v>5</v>
      </c>
    </row>
    <row r="614" spans="1:3">
      <c r="A614" t="s">
        <v>64</v>
      </c>
      <c r="B614" t="s">
        <v>153</v>
      </c>
      <c r="C614" t="s">
        <v>5</v>
      </c>
    </row>
    <row r="615" spans="1:3">
      <c r="A615" t="s">
        <v>64</v>
      </c>
      <c r="B615" t="s">
        <v>121</v>
      </c>
      <c r="C615" t="s">
        <v>5</v>
      </c>
    </row>
    <row r="616" spans="1:3">
      <c r="A616" t="s">
        <v>64</v>
      </c>
      <c r="B616" t="s">
        <v>130</v>
      </c>
      <c r="C616" t="s">
        <v>5</v>
      </c>
    </row>
    <row r="617" spans="1:3">
      <c r="A617" t="s">
        <v>64</v>
      </c>
      <c r="B617" t="s">
        <v>135</v>
      </c>
      <c r="C617" t="s">
        <v>5</v>
      </c>
    </row>
    <row r="618" spans="1:3">
      <c r="A618" t="s">
        <v>64</v>
      </c>
      <c r="B618" t="s">
        <v>138</v>
      </c>
      <c r="C618" t="s">
        <v>5</v>
      </c>
    </row>
    <row r="619" spans="1:3">
      <c r="A619" t="s">
        <v>64</v>
      </c>
      <c r="B619" t="s">
        <v>140</v>
      </c>
      <c r="C619" t="s">
        <v>5</v>
      </c>
    </row>
    <row r="620" spans="1:3">
      <c r="A620" t="s">
        <v>64</v>
      </c>
      <c r="B620" t="s">
        <v>142</v>
      </c>
      <c r="C620" t="s">
        <v>5</v>
      </c>
    </row>
    <row r="621" spans="1:3">
      <c r="A621" t="s">
        <v>64</v>
      </c>
      <c r="B621" t="s">
        <v>155</v>
      </c>
      <c r="C621" t="s">
        <v>5</v>
      </c>
    </row>
    <row r="622" spans="1:3">
      <c r="A622" t="s">
        <v>65</v>
      </c>
      <c r="B622" t="s">
        <v>150</v>
      </c>
      <c r="C622" t="s">
        <v>5</v>
      </c>
    </row>
    <row r="623" spans="1:3">
      <c r="A623" t="s">
        <v>65</v>
      </c>
      <c r="B623" t="s">
        <v>151</v>
      </c>
      <c r="C623" t="s">
        <v>5</v>
      </c>
    </row>
    <row r="624" spans="1:3">
      <c r="A624" t="s">
        <v>65</v>
      </c>
      <c r="B624" t="s">
        <v>127</v>
      </c>
      <c r="C624" t="s">
        <v>5</v>
      </c>
    </row>
    <row r="625" spans="1:3">
      <c r="A625" t="s">
        <v>65</v>
      </c>
      <c r="B625" t="s">
        <v>153</v>
      </c>
      <c r="C625" t="s">
        <v>5</v>
      </c>
    </row>
    <row r="626" spans="1:3">
      <c r="A626" t="s">
        <v>65</v>
      </c>
      <c r="B626" t="s">
        <v>121</v>
      </c>
      <c r="C626" t="s">
        <v>5</v>
      </c>
    </row>
    <row r="627" spans="1:3">
      <c r="A627" t="s">
        <v>65</v>
      </c>
      <c r="B627" t="s">
        <v>130</v>
      </c>
      <c r="C627" t="s">
        <v>5</v>
      </c>
    </row>
    <row r="628" spans="1:3">
      <c r="A628" t="s">
        <v>65</v>
      </c>
      <c r="B628" t="s">
        <v>135</v>
      </c>
      <c r="C628" t="s">
        <v>5</v>
      </c>
    </row>
    <row r="629" spans="1:3">
      <c r="A629" t="s">
        <v>65</v>
      </c>
      <c r="B629" t="s">
        <v>138</v>
      </c>
      <c r="C629" t="s">
        <v>5</v>
      </c>
    </row>
    <row r="630" spans="1:3">
      <c r="A630" t="s">
        <v>65</v>
      </c>
      <c r="B630" t="s">
        <v>140</v>
      </c>
      <c r="C630" t="s">
        <v>5</v>
      </c>
    </row>
    <row r="631" spans="1:3">
      <c r="A631" t="s">
        <v>65</v>
      </c>
      <c r="B631" t="s">
        <v>142</v>
      </c>
      <c r="C631" t="s">
        <v>5</v>
      </c>
    </row>
    <row r="632" spans="1:3">
      <c r="A632" t="s">
        <v>65</v>
      </c>
      <c r="B632" t="s">
        <v>155</v>
      </c>
      <c r="C632" t="s">
        <v>5</v>
      </c>
    </row>
    <row r="633" spans="1:3">
      <c r="A633" t="s">
        <v>66</v>
      </c>
      <c r="B633" t="s">
        <v>150</v>
      </c>
      <c r="C633" t="s">
        <v>5</v>
      </c>
    </row>
    <row r="634" spans="1:3">
      <c r="A634" t="s">
        <v>66</v>
      </c>
      <c r="B634" t="s">
        <v>107</v>
      </c>
      <c r="C634" t="s">
        <v>5</v>
      </c>
    </row>
    <row r="635" spans="1:3">
      <c r="A635" t="s">
        <v>66</v>
      </c>
      <c r="B635" t="s">
        <v>151</v>
      </c>
      <c r="C635" t="s">
        <v>5</v>
      </c>
    </row>
    <row r="636" spans="1:3">
      <c r="A636" t="s">
        <v>66</v>
      </c>
      <c r="B636" t="s">
        <v>112</v>
      </c>
      <c r="C636" t="s">
        <v>5</v>
      </c>
    </row>
    <row r="637" spans="1:3">
      <c r="A637" t="s">
        <v>66</v>
      </c>
      <c r="B637" t="s">
        <v>127</v>
      </c>
      <c r="C637" t="s">
        <v>5</v>
      </c>
    </row>
    <row r="638" spans="1:3">
      <c r="A638" t="s">
        <v>66</v>
      </c>
      <c r="B638" t="s">
        <v>114</v>
      </c>
      <c r="C638" t="s">
        <v>5</v>
      </c>
    </row>
    <row r="639" spans="1:3">
      <c r="A639" t="s">
        <v>66</v>
      </c>
      <c r="B639" t="s">
        <v>153</v>
      </c>
      <c r="C639" t="s">
        <v>5</v>
      </c>
    </row>
    <row r="640" spans="1:3">
      <c r="A640" t="s">
        <v>66</v>
      </c>
      <c r="B640" t="s">
        <v>118</v>
      </c>
      <c r="C640" t="s">
        <v>5</v>
      </c>
    </row>
    <row r="641" spans="1:3">
      <c r="A641" t="s">
        <v>66</v>
      </c>
      <c r="B641" t="s">
        <v>121</v>
      </c>
      <c r="C641" t="s">
        <v>5</v>
      </c>
    </row>
    <row r="642" spans="1:3">
      <c r="A642" t="s">
        <v>66</v>
      </c>
      <c r="B642" t="s">
        <v>130</v>
      </c>
      <c r="C642" t="s">
        <v>5</v>
      </c>
    </row>
    <row r="643" spans="1:3">
      <c r="A643" t="s">
        <v>66</v>
      </c>
      <c r="B643" t="s">
        <v>134</v>
      </c>
      <c r="C643" t="s">
        <v>5</v>
      </c>
    </row>
    <row r="644" spans="1:3">
      <c r="A644" t="s">
        <v>66</v>
      </c>
      <c r="B644" t="s">
        <v>135</v>
      </c>
      <c r="C644" t="s">
        <v>5</v>
      </c>
    </row>
    <row r="645" spans="1:3">
      <c r="A645" t="s">
        <v>66</v>
      </c>
      <c r="B645" t="s">
        <v>138</v>
      </c>
      <c r="C645" t="s">
        <v>5</v>
      </c>
    </row>
    <row r="646" spans="1:3">
      <c r="A646" t="s">
        <v>66</v>
      </c>
      <c r="B646" t="s">
        <v>139</v>
      </c>
      <c r="C646" t="s">
        <v>5</v>
      </c>
    </row>
    <row r="647" spans="1:3">
      <c r="A647" t="s">
        <v>66</v>
      </c>
      <c r="B647" t="s">
        <v>140</v>
      </c>
      <c r="C647" t="s">
        <v>5</v>
      </c>
    </row>
    <row r="648" spans="1:3">
      <c r="A648" t="s">
        <v>66</v>
      </c>
      <c r="B648" t="s">
        <v>142</v>
      </c>
      <c r="C648" t="s">
        <v>5</v>
      </c>
    </row>
    <row r="649" spans="1:3">
      <c r="A649" t="s">
        <v>66</v>
      </c>
      <c r="B649" t="s">
        <v>143</v>
      </c>
      <c r="C649" t="s">
        <v>5</v>
      </c>
    </row>
    <row r="650" spans="1:3">
      <c r="A650" t="s">
        <v>66</v>
      </c>
      <c r="B650" t="s">
        <v>155</v>
      </c>
      <c r="C650" t="s">
        <v>5</v>
      </c>
    </row>
    <row r="651" spans="1:3">
      <c r="A651" t="s">
        <v>191</v>
      </c>
      <c r="B651" t="s">
        <v>131</v>
      </c>
      <c r="C651" t="s">
        <v>5</v>
      </c>
    </row>
    <row r="652" spans="1:3">
      <c r="A652" t="s">
        <v>191</v>
      </c>
      <c r="B652" t="s">
        <v>132</v>
      </c>
      <c r="C652" t="s">
        <v>5</v>
      </c>
    </row>
    <row r="653" spans="1:3">
      <c r="A653" t="s">
        <v>191</v>
      </c>
      <c r="B653" t="s">
        <v>139</v>
      </c>
      <c r="C653" t="s">
        <v>5</v>
      </c>
    </row>
    <row r="654" spans="1:3">
      <c r="A654" t="s">
        <v>67</v>
      </c>
      <c r="B654" t="s">
        <v>150</v>
      </c>
      <c r="C654" t="s">
        <v>5</v>
      </c>
    </row>
    <row r="655" spans="1:3">
      <c r="A655" t="s">
        <v>67</v>
      </c>
      <c r="B655" t="s">
        <v>151</v>
      </c>
      <c r="C655" t="s">
        <v>5</v>
      </c>
    </row>
    <row r="656" spans="1:3">
      <c r="A656" t="s">
        <v>67</v>
      </c>
      <c r="B656" t="s">
        <v>127</v>
      </c>
      <c r="C656" t="s">
        <v>5</v>
      </c>
    </row>
    <row r="657" spans="1:3">
      <c r="A657" t="s">
        <v>67</v>
      </c>
      <c r="B657" t="s">
        <v>153</v>
      </c>
      <c r="C657" t="s">
        <v>5</v>
      </c>
    </row>
    <row r="658" spans="1:3">
      <c r="A658" t="s">
        <v>67</v>
      </c>
      <c r="B658" t="s">
        <v>121</v>
      </c>
      <c r="C658" t="s">
        <v>5</v>
      </c>
    </row>
    <row r="659" spans="1:3">
      <c r="A659" t="s">
        <v>67</v>
      </c>
      <c r="B659" t="s">
        <v>130</v>
      </c>
      <c r="C659" t="s">
        <v>5</v>
      </c>
    </row>
    <row r="660" spans="1:3">
      <c r="A660" t="s">
        <v>67</v>
      </c>
      <c r="B660" t="s">
        <v>135</v>
      </c>
      <c r="C660" t="s">
        <v>5</v>
      </c>
    </row>
    <row r="661" spans="1:3">
      <c r="A661" t="s">
        <v>67</v>
      </c>
      <c r="B661" t="s">
        <v>138</v>
      </c>
      <c r="C661" t="s">
        <v>5</v>
      </c>
    </row>
    <row r="662" spans="1:3">
      <c r="A662" t="s">
        <v>67</v>
      </c>
      <c r="B662" t="s">
        <v>140</v>
      </c>
      <c r="C662" t="s">
        <v>5</v>
      </c>
    </row>
    <row r="663" spans="1:3">
      <c r="A663" t="s">
        <v>67</v>
      </c>
      <c r="B663" t="s">
        <v>142</v>
      </c>
      <c r="C663" t="s">
        <v>5</v>
      </c>
    </row>
    <row r="664" spans="1:3">
      <c r="A664" t="s">
        <v>67</v>
      </c>
      <c r="B664" t="s">
        <v>155</v>
      </c>
      <c r="C664" t="s">
        <v>5</v>
      </c>
    </row>
    <row r="665" spans="1:3">
      <c r="A665" t="s">
        <v>68</v>
      </c>
      <c r="B665" t="s">
        <v>159</v>
      </c>
      <c r="C665" t="s">
        <v>5</v>
      </c>
    </row>
    <row r="666" spans="1:3">
      <c r="A666" t="s">
        <v>68</v>
      </c>
      <c r="B666" t="s">
        <v>150</v>
      </c>
      <c r="C666" t="s">
        <v>5</v>
      </c>
    </row>
    <row r="667" spans="1:3">
      <c r="A667" t="s">
        <v>68</v>
      </c>
      <c r="B667" t="s">
        <v>185</v>
      </c>
      <c r="C667" t="s">
        <v>5</v>
      </c>
    </row>
    <row r="668" spans="1:3">
      <c r="A668" t="s">
        <v>68</v>
      </c>
      <c r="B668" t="s">
        <v>161</v>
      </c>
      <c r="C668" t="s">
        <v>5</v>
      </c>
    </row>
    <row r="669" spans="1:3">
      <c r="A669" t="s">
        <v>68</v>
      </c>
      <c r="B669" t="s">
        <v>186</v>
      </c>
      <c r="C669" t="s">
        <v>5</v>
      </c>
    </row>
    <row r="670" spans="1:3">
      <c r="A670" t="s">
        <v>68</v>
      </c>
      <c r="B670" t="s">
        <v>187</v>
      </c>
      <c r="C670" t="s">
        <v>5</v>
      </c>
    </row>
    <row r="671" spans="1:3">
      <c r="A671" t="s">
        <v>68</v>
      </c>
      <c r="B671" t="s">
        <v>151</v>
      </c>
      <c r="C671" t="s">
        <v>5</v>
      </c>
    </row>
    <row r="672" spans="1:3">
      <c r="A672" t="s">
        <v>68</v>
      </c>
      <c r="B672" t="s">
        <v>188</v>
      </c>
      <c r="C672" t="s">
        <v>5</v>
      </c>
    </row>
    <row r="673" spans="1:3">
      <c r="A673" t="s">
        <v>68</v>
      </c>
      <c r="B673" t="s">
        <v>127</v>
      </c>
      <c r="C673" t="s">
        <v>5</v>
      </c>
    </row>
    <row r="674" spans="1:3">
      <c r="A674" t="s">
        <v>68</v>
      </c>
      <c r="B674" t="s">
        <v>189</v>
      </c>
      <c r="C674" t="s">
        <v>5</v>
      </c>
    </row>
    <row r="675" spans="1:3">
      <c r="A675" t="s">
        <v>68</v>
      </c>
      <c r="B675" t="s">
        <v>152</v>
      </c>
      <c r="C675" t="s">
        <v>5</v>
      </c>
    </row>
    <row r="676" spans="1:3">
      <c r="A676" t="s">
        <v>68</v>
      </c>
      <c r="B676" t="s">
        <v>153</v>
      </c>
      <c r="C676" t="s">
        <v>5</v>
      </c>
    </row>
    <row r="677" spans="1:3">
      <c r="A677" t="s">
        <v>68</v>
      </c>
      <c r="B677" t="s">
        <v>154</v>
      </c>
      <c r="C677" t="s">
        <v>5</v>
      </c>
    </row>
    <row r="678" spans="1:3">
      <c r="A678" t="s">
        <v>68</v>
      </c>
      <c r="B678" t="s">
        <v>128</v>
      </c>
      <c r="C678" t="s">
        <v>5</v>
      </c>
    </row>
    <row r="679" spans="1:3">
      <c r="A679" t="s">
        <v>68</v>
      </c>
      <c r="B679" t="s">
        <v>129</v>
      </c>
      <c r="C679" t="s">
        <v>5</v>
      </c>
    </row>
    <row r="680" spans="1:3">
      <c r="A680" t="s">
        <v>68</v>
      </c>
      <c r="B680" t="s">
        <v>121</v>
      </c>
      <c r="C680" t="s">
        <v>5</v>
      </c>
    </row>
    <row r="681" spans="1:3">
      <c r="A681" t="s">
        <v>68</v>
      </c>
      <c r="B681" t="s">
        <v>130</v>
      </c>
      <c r="C681" t="s">
        <v>5</v>
      </c>
    </row>
    <row r="682" spans="1:3">
      <c r="A682" t="s">
        <v>68</v>
      </c>
      <c r="B682" t="s">
        <v>131</v>
      </c>
      <c r="C682" t="s">
        <v>5</v>
      </c>
    </row>
    <row r="683" spans="1:3">
      <c r="A683" t="s">
        <v>68</v>
      </c>
      <c r="B683" t="s">
        <v>133</v>
      </c>
      <c r="C683" t="s">
        <v>5</v>
      </c>
    </row>
    <row r="684" spans="1:3">
      <c r="A684" t="s">
        <v>68</v>
      </c>
      <c r="B684" t="s">
        <v>135</v>
      </c>
      <c r="C684" t="s">
        <v>5</v>
      </c>
    </row>
    <row r="685" spans="1:3">
      <c r="A685" t="s">
        <v>68</v>
      </c>
      <c r="B685" t="s">
        <v>162</v>
      </c>
      <c r="C685" t="s">
        <v>5</v>
      </c>
    </row>
    <row r="686" spans="1:3">
      <c r="A686" t="s">
        <v>68</v>
      </c>
      <c r="B686" t="s">
        <v>136</v>
      </c>
      <c r="C686" t="s">
        <v>5</v>
      </c>
    </row>
    <row r="687" spans="1:3">
      <c r="A687" t="s">
        <v>68</v>
      </c>
      <c r="B687" t="s">
        <v>138</v>
      </c>
      <c r="C687" t="s">
        <v>5</v>
      </c>
    </row>
    <row r="688" spans="1:3">
      <c r="A688" t="s">
        <v>68</v>
      </c>
      <c r="B688" t="s">
        <v>140</v>
      </c>
      <c r="C688" t="s">
        <v>5</v>
      </c>
    </row>
    <row r="689" spans="1:3">
      <c r="A689" t="s">
        <v>68</v>
      </c>
      <c r="B689" t="s">
        <v>142</v>
      </c>
      <c r="C689" t="s">
        <v>5</v>
      </c>
    </row>
    <row r="690" spans="1:3">
      <c r="A690" t="s">
        <v>68</v>
      </c>
      <c r="B690" t="s">
        <v>166</v>
      </c>
      <c r="C690" t="s">
        <v>5</v>
      </c>
    </row>
    <row r="691" spans="1:3">
      <c r="A691" t="s">
        <v>68</v>
      </c>
      <c r="B691" t="s">
        <v>167</v>
      </c>
      <c r="C691" t="s">
        <v>5</v>
      </c>
    </row>
    <row r="692" spans="1:3">
      <c r="A692" t="s">
        <v>68</v>
      </c>
      <c r="B692" t="s">
        <v>168</v>
      </c>
      <c r="C692" t="s">
        <v>5</v>
      </c>
    </row>
    <row r="693" spans="1:3">
      <c r="A693" t="s">
        <v>68</v>
      </c>
      <c r="B693" t="s">
        <v>170</v>
      </c>
      <c r="C693" t="s">
        <v>5</v>
      </c>
    </row>
    <row r="694" spans="1:3">
      <c r="A694" t="s">
        <v>68</v>
      </c>
      <c r="B694" t="s">
        <v>155</v>
      </c>
      <c r="C694" t="s">
        <v>5</v>
      </c>
    </row>
    <row r="695" spans="1:3">
      <c r="A695" t="s">
        <v>68</v>
      </c>
      <c r="B695" t="s">
        <v>190</v>
      </c>
      <c r="C695" t="s">
        <v>5</v>
      </c>
    </row>
    <row r="696" spans="1:3">
      <c r="A696" t="s">
        <v>69</v>
      </c>
      <c r="B696" t="s">
        <v>150</v>
      </c>
      <c r="C696" t="s">
        <v>5</v>
      </c>
    </row>
    <row r="697" spans="1:3">
      <c r="A697" t="s">
        <v>69</v>
      </c>
      <c r="B697" t="s">
        <v>107</v>
      </c>
      <c r="C697" t="s">
        <v>5</v>
      </c>
    </row>
    <row r="698" spans="1:3">
      <c r="A698" t="s">
        <v>69</v>
      </c>
      <c r="B698" t="s">
        <v>151</v>
      </c>
      <c r="C698" t="s">
        <v>5</v>
      </c>
    </row>
    <row r="699" spans="1:3">
      <c r="A699" t="s">
        <v>69</v>
      </c>
      <c r="B699" t="s">
        <v>112</v>
      </c>
      <c r="C699" t="s">
        <v>5</v>
      </c>
    </row>
    <row r="700" spans="1:3">
      <c r="A700" t="s">
        <v>69</v>
      </c>
      <c r="B700" t="s">
        <v>127</v>
      </c>
      <c r="C700" t="s">
        <v>5</v>
      </c>
    </row>
    <row r="701" spans="1:3">
      <c r="A701" t="s">
        <v>69</v>
      </c>
      <c r="B701" t="s">
        <v>114</v>
      </c>
      <c r="C701" t="s">
        <v>5</v>
      </c>
    </row>
    <row r="702" spans="1:3">
      <c r="A702" t="s">
        <v>69</v>
      </c>
      <c r="B702" t="s">
        <v>152</v>
      </c>
      <c r="C702" t="s">
        <v>5</v>
      </c>
    </row>
    <row r="703" spans="1:3">
      <c r="A703" t="s">
        <v>69</v>
      </c>
      <c r="B703" t="s">
        <v>153</v>
      </c>
      <c r="C703" t="s">
        <v>5</v>
      </c>
    </row>
    <row r="704" spans="1:3">
      <c r="A704" t="s">
        <v>69</v>
      </c>
      <c r="B704" t="s">
        <v>118</v>
      </c>
      <c r="C704" t="s">
        <v>5</v>
      </c>
    </row>
    <row r="705" spans="1:3">
      <c r="A705" t="s">
        <v>69</v>
      </c>
      <c r="B705" t="s">
        <v>121</v>
      </c>
      <c r="C705" t="s">
        <v>5</v>
      </c>
    </row>
    <row r="706" spans="1:3">
      <c r="A706" t="s">
        <v>69</v>
      </c>
      <c r="B706" t="s">
        <v>130</v>
      </c>
      <c r="C706" t="s">
        <v>5</v>
      </c>
    </row>
    <row r="707" spans="1:3">
      <c r="A707" t="s">
        <v>69</v>
      </c>
      <c r="B707" t="s">
        <v>134</v>
      </c>
      <c r="C707" t="s">
        <v>5</v>
      </c>
    </row>
    <row r="708" spans="1:3">
      <c r="A708" t="s">
        <v>69</v>
      </c>
      <c r="B708" t="s">
        <v>135</v>
      </c>
      <c r="C708" t="s">
        <v>5</v>
      </c>
    </row>
    <row r="709" spans="1:3">
      <c r="A709" t="s">
        <v>69</v>
      </c>
      <c r="B709" t="s">
        <v>138</v>
      </c>
      <c r="C709" t="s">
        <v>5</v>
      </c>
    </row>
    <row r="710" spans="1:3">
      <c r="A710" t="s">
        <v>69</v>
      </c>
      <c r="B710" t="s">
        <v>139</v>
      </c>
      <c r="C710" t="s">
        <v>5</v>
      </c>
    </row>
    <row r="711" spans="1:3">
      <c r="A711" t="s">
        <v>69</v>
      </c>
      <c r="B711" t="s">
        <v>140</v>
      </c>
      <c r="C711" t="s">
        <v>5</v>
      </c>
    </row>
    <row r="712" spans="1:3">
      <c r="A712" t="s">
        <v>69</v>
      </c>
      <c r="B712" t="s">
        <v>142</v>
      </c>
      <c r="C712" t="s">
        <v>5</v>
      </c>
    </row>
    <row r="713" spans="1:3">
      <c r="A713" t="s">
        <v>69</v>
      </c>
      <c r="B713" t="s">
        <v>143</v>
      </c>
      <c r="C713" t="s">
        <v>5</v>
      </c>
    </row>
    <row r="714" spans="1:3">
      <c r="A714" t="s">
        <v>69</v>
      </c>
      <c r="B714" t="s">
        <v>155</v>
      </c>
      <c r="C714" t="s">
        <v>5</v>
      </c>
    </row>
    <row r="715" spans="1:3">
      <c r="A715" t="s">
        <v>70</v>
      </c>
      <c r="B715" t="s">
        <v>150</v>
      </c>
      <c r="C715" t="s">
        <v>5</v>
      </c>
    </row>
    <row r="716" spans="1:3">
      <c r="A716" t="s">
        <v>70</v>
      </c>
      <c r="B716" t="s">
        <v>107</v>
      </c>
      <c r="C716" t="s">
        <v>5</v>
      </c>
    </row>
    <row r="717" spans="1:3">
      <c r="A717" t="s">
        <v>70</v>
      </c>
      <c r="B717" t="s">
        <v>151</v>
      </c>
      <c r="C717" t="s">
        <v>5</v>
      </c>
    </row>
    <row r="718" spans="1:3">
      <c r="A718" t="s">
        <v>70</v>
      </c>
      <c r="B718" t="s">
        <v>112</v>
      </c>
      <c r="C718" t="s">
        <v>5</v>
      </c>
    </row>
    <row r="719" spans="1:3">
      <c r="A719" t="s">
        <v>70</v>
      </c>
      <c r="B719" t="s">
        <v>127</v>
      </c>
      <c r="C719" t="s">
        <v>5</v>
      </c>
    </row>
    <row r="720" spans="1:3">
      <c r="A720" t="s">
        <v>70</v>
      </c>
      <c r="B720" t="s">
        <v>114</v>
      </c>
      <c r="C720" t="s">
        <v>5</v>
      </c>
    </row>
    <row r="721" spans="1:3">
      <c r="A721" t="s">
        <v>70</v>
      </c>
      <c r="B721" t="s">
        <v>153</v>
      </c>
      <c r="C721" t="s">
        <v>5</v>
      </c>
    </row>
    <row r="722" spans="1:3">
      <c r="A722" t="s">
        <v>70</v>
      </c>
      <c r="B722" t="s">
        <v>118</v>
      </c>
      <c r="C722" t="s">
        <v>5</v>
      </c>
    </row>
    <row r="723" spans="1:3">
      <c r="A723" t="s">
        <v>70</v>
      </c>
      <c r="B723" t="s">
        <v>121</v>
      </c>
      <c r="C723" t="s">
        <v>5</v>
      </c>
    </row>
    <row r="724" spans="1:3">
      <c r="A724" t="s">
        <v>70</v>
      </c>
      <c r="B724" t="s">
        <v>130</v>
      </c>
      <c r="C724" t="s">
        <v>5</v>
      </c>
    </row>
    <row r="725" spans="1:3">
      <c r="A725" t="s">
        <v>70</v>
      </c>
      <c r="B725" t="s">
        <v>134</v>
      </c>
      <c r="C725" t="s">
        <v>5</v>
      </c>
    </row>
    <row r="726" spans="1:3">
      <c r="A726" t="s">
        <v>70</v>
      </c>
      <c r="B726" t="s">
        <v>135</v>
      </c>
      <c r="C726" t="s">
        <v>5</v>
      </c>
    </row>
    <row r="727" spans="1:3">
      <c r="A727" t="s">
        <v>70</v>
      </c>
      <c r="B727" t="s">
        <v>138</v>
      </c>
      <c r="C727" t="s">
        <v>5</v>
      </c>
    </row>
    <row r="728" spans="1:3">
      <c r="A728" t="s">
        <v>70</v>
      </c>
      <c r="B728" t="s">
        <v>139</v>
      </c>
      <c r="C728" t="s">
        <v>5</v>
      </c>
    </row>
    <row r="729" spans="1:3">
      <c r="A729" t="s">
        <v>70</v>
      </c>
      <c r="B729" t="s">
        <v>140</v>
      </c>
      <c r="C729" t="s">
        <v>5</v>
      </c>
    </row>
    <row r="730" spans="1:3">
      <c r="A730" t="s">
        <v>70</v>
      </c>
      <c r="B730" t="s">
        <v>142</v>
      </c>
      <c r="C730" t="s">
        <v>5</v>
      </c>
    </row>
    <row r="731" spans="1:3">
      <c r="A731" t="s">
        <v>70</v>
      </c>
      <c r="B731" t="s">
        <v>143</v>
      </c>
      <c r="C731" t="s">
        <v>5</v>
      </c>
    </row>
    <row r="732" spans="1:3">
      <c r="A732" t="s">
        <v>70</v>
      </c>
      <c r="B732" t="s">
        <v>155</v>
      </c>
      <c r="C732" t="s">
        <v>5</v>
      </c>
    </row>
    <row r="733" spans="1:3">
      <c r="A733" t="s">
        <v>71</v>
      </c>
      <c r="B733" t="s">
        <v>150</v>
      </c>
      <c r="C733" t="s">
        <v>5</v>
      </c>
    </row>
    <row r="734" spans="1:3">
      <c r="A734" t="s">
        <v>71</v>
      </c>
      <c r="B734" t="s">
        <v>107</v>
      </c>
      <c r="C734" t="s">
        <v>5</v>
      </c>
    </row>
    <row r="735" spans="1:3">
      <c r="A735" t="s">
        <v>71</v>
      </c>
      <c r="B735" t="s">
        <v>151</v>
      </c>
      <c r="C735" t="s">
        <v>5</v>
      </c>
    </row>
    <row r="736" spans="1:3">
      <c r="A736" t="s">
        <v>71</v>
      </c>
      <c r="B736" t="s">
        <v>112</v>
      </c>
      <c r="C736" t="s">
        <v>5</v>
      </c>
    </row>
    <row r="737" spans="1:3">
      <c r="A737" t="s">
        <v>71</v>
      </c>
      <c r="B737" t="s">
        <v>127</v>
      </c>
      <c r="C737" t="s">
        <v>5</v>
      </c>
    </row>
    <row r="738" spans="1:3">
      <c r="A738" t="s">
        <v>71</v>
      </c>
      <c r="B738" t="s">
        <v>114</v>
      </c>
      <c r="C738" t="s">
        <v>5</v>
      </c>
    </row>
    <row r="739" spans="1:3">
      <c r="A739" t="s">
        <v>71</v>
      </c>
      <c r="B739" t="s">
        <v>153</v>
      </c>
      <c r="C739" t="s">
        <v>5</v>
      </c>
    </row>
    <row r="740" spans="1:3">
      <c r="A740" t="s">
        <v>71</v>
      </c>
      <c r="B740" t="s">
        <v>118</v>
      </c>
      <c r="C740" t="s">
        <v>5</v>
      </c>
    </row>
    <row r="741" spans="1:3">
      <c r="A741" t="s">
        <v>71</v>
      </c>
      <c r="B741" t="s">
        <v>121</v>
      </c>
      <c r="C741" t="s">
        <v>5</v>
      </c>
    </row>
    <row r="742" spans="1:3">
      <c r="A742" t="s">
        <v>71</v>
      </c>
      <c r="B742" t="s">
        <v>130</v>
      </c>
      <c r="C742" t="s">
        <v>5</v>
      </c>
    </row>
    <row r="743" spans="1:3">
      <c r="A743" t="s">
        <v>71</v>
      </c>
      <c r="B743" t="s">
        <v>134</v>
      </c>
      <c r="C743" t="s">
        <v>5</v>
      </c>
    </row>
    <row r="744" spans="1:3">
      <c r="A744" t="s">
        <v>71</v>
      </c>
      <c r="B744" t="s">
        <v>135</v>
      </c>
      <c r="C744" t="s">
        <v>5</v>
      </c>
    </row>
    <row r="745" spans="1:3">
      <c r="A745" t="s">
        <v>71</v>
      </c>
      <c r="B745" t="s">
        <v>138</v>
      </c>
      <c r="C745" t="s">
        <v>5</v>
      </c>
    </row>
    <row r="746" spans="1:3">
      <c r="A746" t="s">
        <v>71</v>
      </c>
      <c r="B746" t="s">
        <v>139</v>
      </c>
      <c r="C746" t="s">
        <v>5</v>
      </c>
    </row>
    <row r="747" spans="1:3">
      <c r="A747" t="s">
        <v>71</v>
      </c>
      <c r="B747" t="s">
        <v>140</v>
      </c>
      <c r="C747" t="s">
        <v>5</v>
      </c>
    </row>
    <row r="748" spans="1:3">
      <c r="A748" t="s">
        <v>71</v>
      </c>
      <c r="B748" t="s">
        <v>142</v>
      </c>
      <c r="C748" t="s">
        <v>5</v>
      </c>
    </row>
    <row r="749" spans="1:3">
      <c r="A749" t="s">
        <v>71</v>
      </c>
      <c r="B749" t="s">
        <v>143</v>
      </c>
      <c r="C749" t="s">
        <v>5</v>
      </c>
    </row>
    <row r="750" spans="1:3">
      <c r="A750" t="s">
        <v>71</v>
      </c>
      <c r="B750" t="s">
        <v>155</v>
      </c>
      <c r="C750" t="s">
        <v>5</v>
      </c>
    </row>
    <row r="751" spans="1:3">
      <c r="A751" t="s">
        <v>72</v>
      </c>
      <c r="B751" t="s">
        <v>150</v>
      </c>
      <c r="C751" t="s">
        <v>5</v>
      </c>
    </row>
    <row r="752" spans="1:3">
      <c r="A752" t="s">
        <v>72</v>
      </c>
      <c r="B752" t="s">
        <v>107</v>
      </c>
      <c r="C752" t="s">
        <v>5</v>
      </c>
    </row>
    <row r="753" spans="1:3">
      <c r="A753" t="s">
        <v>72</v>
      </c>
      <c r="B753" t="s">
        <v>151</v>
      </c>
      <c r="C753" t="s">
        <v>5</v>
      </c>
    </row>
    <row r="754" spans="1:3">
      <c r="A754" t="s">
        <v>72</v>
      </c>
      <c r="B754" t="s">
        <v>112</v>
      </c>
      <c r="C754" t="s">
        <v>5</v>
      </c>
    </row>
    <row r="755" spans="1:3">
      <c r="A755" t="s">
        <v>72</v>
      </c>
      <c r="B755" t="s">
        <v>127</v>
      </c>
      <c r="C755" t="s">
        <v>5</v>
      </c>
    </row>
    <row r="756" spans="1:3">
      <c r="A756" t="s">
        <v>72</v>
      </c>
      <c r="B756" t="s">
        <v>114</v>
      </c>
      <c r="C756" t="s">
        <v>5</v>
      </c>
    </row>
    <row r="757" spans="1:3">
      <c r="A757" t="s">
        <v>72</v>
      </c>
      <c r="B757" t="s">
        <v>153</v>
      </c>
      <c r="C757" t="s">
        <v>5</v>
      </c>
    </row>
    <row r="758" spans="1:3">
      <c r="A758" t="s">
        <v>72</v>
      </c>
      <c r="B758" t="s">
        <v>118</v>
      </c>
      <c r="C758" t="s">
        <v>5</v>
      </c>
    </row>
    <row r="759" spans="1:3">
      <c r="A759" t="s">
        <v>72</v>
      </c>
      <c r="B759" t="s">
        <v>121</v>
      </c>
      <c r="C759" t="s">
        <v>5</v>
      </c>
    </row>
    <row r="760" spans="1:3">
      <c r="A760" t="s">
        <v>72</v>
      </c>
      <c r="B760" t="s">
        <v>130</v>
      </c>
      <c r="C760" t="s">
        <v>5</v>
      </c>
    </row>
    <row r="761" spans="1:3">
      <c r="A761" t="s">
        <v>72</v>
      </c>
      <c r="B761" t="s">
        <v>134</v>
      </c>
      <c r="C761" t="s">
        <v>5</v>
      </c>
    </row>
    <row r="762" spans="1:3">
      <c r="A762" t="s">
        <v>72</v>
      </c>
      <c r="B762" t="s">
        <v>135</v>
      </c>
      <c r="C762" t="s">
        <v>5</v>
      </c>
    </row>
    <row r="763" spans="1:3">
      <c r="A763" t="s">
        <v>72</v>
      </c>
      <c r="B763" t="s">
        <v>138</v>
      </c>
      <c r="C763" t="s">
        <v>5</v>
      </c>
    </row>
    <row r="764" spans="1:3">
      <c r="A764" t="s">
        <v>72</v>
      </c>
      <c r="B764" t="s">
        <v>139</v>
      </c>
      <c r="C764" t="s">
        <v>5</v>
      </c>
    </row>
    <row r="765" spans="1:3">
      <c r="A765" t="s">
        <v>72</v>
      </c>
      <c r="B765" t="s">
        <v>140</v>
      </c>
      <c r="C765" t="s">
        <v>5</v>
      </c>
    </row>
    <row r="766" spans="1:3">
      <c r="A766" t="s">
        <v>72</v>
      </c>
      <c r="B766" t="s">
        <v>142</v>
      </c>
      <c r="C766" t="s">
        <v>5</v>
      </c>
    </row>
    <row r="767" spans="1:3">
      <c r="A767" t="s">
        <v>72</v>
      </c>
      <c r="B767" t="s">
        <v>143</v>
      </c>
      <c r="C767" t="s">
        <v>5</v>
      </c>
    </row>
    <row r="768" spans="1:3">
      <c r="A768" t="s">
        <v>72</v>
      </c>
      <c r="B768" t="s">
        <v>155</v>
      </c>
      <c r="C768" t="s">
        <v>5</v>
      </c>
    </row>
    <row r="769" spans="1:3">
      <c r="A769" t="s">
        <v>73</v>
      </c>
      <c r="B769" t="s">
        <v>150</v>
      </c>
      <c r="C769" t="s">
        <v>5</v>
      </c>
    </row>
    <row r="770" spans="1:3">
      <c r="A770" t="s">
        <v>73</v>
      </c>
      <c r="B770" t="s">
        <v>151</v>
      </c>
      <c r="C770" t="s">
        <v>5</v>
      </c>
    </row>
    <row r="771" spans="1:3">
      <c r="A771" t="s">
        <v>73</v>
      </c>
      <c r="B771" t="s">
        <v>127</v>
      </c>
      <c r="C771" t="s">
        <v>5</v>
      </c>
    </row>
    <row r="772" spans="1:3">
      <c r="A772" t="s">
        <v>73</v>
      </c>
      <c r="B772" t="s">
        <v>114</v>
      </c>
      <c r="C772" t="s">
        <v>5</v>
      </c>
    </row>
    <row r="773" spans="1:3">
      <c r="A773" t="s">
        <v>73</v>
      </c>
      <c r="B773" t="s">
        <v>152</v>
      </c>
      <c r="C773" t="s">
        <v>5</v>
      </c>
    </row>
    <row r="774" spans="1:3">
      <c r="A774" t="s">
        <v>73</v>
      </c>
      <c r="B774" t="s">
        <v>153</v>
      </c>
      <c r="C774" t="s">
        <v>5</v>
      </c>
    </row>
    <row r="775" spans="1:3">
      <c r="A775" t="s">
        <v>73</v>
      </c>
      <c r="B775" t="s">
        <v>121</v>
      </c>
      <c r="C775" t="s">
        <v>5</v>
      </c>
    </row>
    <row r="776" spans="1:3">
      <c r="A776" t="s">
        <v>73</v>
      </c>
      <c r="B776" t="s">
        <v>130</v>
      </c>
      <c r="C776" t="s">
        <v>5</v>
      </c>
    </row>
    <row r="777" spans="1:3">
      <c r="A777" t="s">
        <v>73</v>
      </c>
      <c r="B777" t="s">
        <v>133</v>
      </c>
      <c r="C777" t="s">
        <v>5</v>
      </c>
    </row>
    <row r="778" spans="1:3">
      <c r="A778" t="s">
        <v>73</v>
      </c>
      <c r="B778" t="s">
        <v>134</v>
      </c>
      <c r="C778" t="s">
        <v>5</v>
      </c>
    </row>
    <row r="779" spans="1:3">
      <c r="A779" t="s">
        <v>73</v>
      </c>
      <c r="B779" t="s">
        <v>135</v>
      </c>
      <c r="C779" t="s">
        <v>5</v>
      </c>
    </row>
    <row r="780" spans="1:3">
      <c r="A780" t="s">
        <v>73</v>
      </c>
      <c r="B780" t="s">
        <v>136</v>
      </c>
      <c r="C780" t="s">
        <v>5</v>
      </c>
    </row>
    <row r="781" spans="1:3">
      <c r="A781" t="s">
        <v>73</v>
      </c>
      <c r="B781" t="s">
        <v>138</v>
      </c>
      <c r="C781" t="s">
        <v>5</v>
      </c>
    </row>
    <row r="782" spans="1:3">
      <c r="A782" t="s">
        <v>73</v>
      </c>
      <c r="B782" t="s">
        <v>140</v>
      </c>
      <c r="C782" t="s">
        <v>5</v>
      </c>
    </row>
    <row r="783" spans="1:3">
      <c r="A783" t="s">
        <v>73</v>
      </c>
      <c r="B783" t="s">
        <v>142</v>
      </c>
      <c r="C783" t="s">
        <v>5</v>
      </c>
    </row>
    <row r="784" spans="1:3">
      <c r="A784" t="s">
        <v>73</v>
      </c>
      <c r="B784" t="s">
        <v>155</v>
      </c>
      <c r="C784" t="s">
        <v>5</v>
      </c>
    </row>
    <row r="785" spans="1:3">
      <c r="A785" t="s">
        <v>74</v>
      </c>
      <c r="B785" t="s">
        <v>150</v>
      </c>
      <c r="C785" t="s">
        <v>5</v>
      </c>
    </row>
    <row r="786" spans="1:3">
      <c r="A786" t="s">
        <v>74</v>
      </c>
      <c r="B786" t="s">
        <v>107</v>
      </c>
      <c r="C786" t="s">
        <v>5</v>
      </c>
    </row>
    <row r="787" spans="1:3">
      <c r="A787" t="s">
        <v>74</v>
      </c>
      <c r="B787" t="s">
        <v>151</v>
      </c>
      <c r="C787" t="s">
        <v>5</v>
      </c>
    </row>
    <row r="788" spans="1:3">
      <c r="A788" t="s">
        <v>74</v>
      </c>
      <c r="B788" t="s">
        <v>112</v>
      </c>
      <c r="C788" t="s">
        <v>5</v>
      </c>
    </row>
    <row r="789" spans="1:3">
      <c r="A789" t="s">
        <v>74</v>
      </c>
      <c r="B789" t="s">
        <v>127</v>
      </c>
      <c r="C789" t="s">
        <v>5</v>
      </c>
    </row>
    <row r="790" spans="1:3">
      <c r="A790" t="s">
        <v>74</v>
      </c>
      <c r="B790" t="s">
        <v>114</v>
      </c>
      <c r="C790" t="s">
        <v>5</v>
      </c>
    </row>
    <row r="791" spans="1:3">
      <c r="A791" t="s">
        <v>74</v>
      </c>
      <c r="B791" t="s">
        <v>153</v>
      </c>
      <c r="C791" t="s">
        <v>5</v>
      </c>
    </row>
    <row r="792" spans="1:3">
      <c r="A792" t="s">
        <v>74</v>
      </c>
      <c r="B792" t="s">
        <v>118</v>
      </c>
      <c r="C792" t="s">
        <v>5</v>
      </c>
    </row>
    <row r="793" spans="1:3">
      <c r="A793" t="s">
        <v>74</v>
      </c>
      <c r="B793" t="s">
        <v>121</v>
      </c>
      <c r="C793" t="s">
        <v>5</v>
      </c>
    </row>
    <row r="794" spans="1:3">
      <c r="A794" t="s">
        <v>74</v>
      </c>
      <c r="B794" t="s">
        <v>130</v>
      </c>
      <c r="C794" t="s">
        <v>5</v>
      </c>
    </row>
    <row r="795" spans="1:3">
      <c r="A795" t="s">
        <v>74</v>
      </c>
      <c r="B795" t="s">
        <v>134</v>
      </c>
      <c r="C795" t="s">
        <v>5</v>
      </c>
    </row>
    <row r="796" spans="1:3">
      <c r="A796" t="s">
        <v>74</v>
      </c>
      <c r="B796" t="s">
        <v>135</v>
      </c>
      <c r="C796" t="s">
        <v>5</v>
      </c>
    </row>
    <row r="797" spans="1:3">
      <c r="A797" t="s">
        <v>74</v>
      </c>
      <c r="B797" t="s">
        <v>138</v>
      </c>
      <c r="C797" t="s">
        <v>5</v>
      </c>
    </row>
    <row r="798" spans="1:3">
      <c r="A798" t="s">
        <v>74</v>
      </c>
      <c r="B798" t="s">
        <v>139</v>
      </c>
      <c r="C798" t="s">
        <v>5</v>
      </c>
    </row>
    <row r="799" spans="1:3">
      <c r="A799" t="s">
        <v>74</v>
      </c>
      <c r="B799" t="s">
        <v>140</v>
      </c>
      <c r="C799" t="s">
        <v>5</v>
      </c>
    </row>
    <row r="800" spans="1:3">
      <c r="A800" t="s">
        <v>74</v>
      </c>
      <c r="B800" t="s">
        <v>142</v>
      </c>
      <c r="C800" t="s">
        <v>5</v>
      </c>
    </row>
    <row r="801" spans="1:3">
      <c r="A801" t="s">
        <v>74</v>
      </c>
      <c r="B801" t="s">
        <v>143</v>
      </c>
      <c r="C801" t="s">
        <v>5</v>
      </c>
    </row>
    <row r="802" spans="1:3">
      <c r="A802" t="s">
        <v>74</v>
      </c>
      <c r="B802" t="s">
        <v>155</v>
      </c>
      <c r="C802" t="s">
        <v>5</v>
      </c>
    </row>
    <row r="803" spans="1:3">
      <c r="A803" t="s">
        <v>75</v>
      </c>
      <c r="B803" t="s">
        <v>150</v>
      </c>
      <c r="C803" t="s">
        <v>5</v>
      </c>
    </row>
    <row r="804" spans="1:3">
      <c r="A804" t="s">
        <v>75</v>
      </c>
      <c r="B804" t="s">
        <v>151</v>
      </c>
      <c r="C804" t="s">
        <v>5</v>
      </c>
    </row>
    <row r="805" spans="1:3">
      <c r="A805" t="s">
        <v>75</v>
      </c>
      <c r="B805" t="s">
        <v>127</v>
      </c>
      <c r="C805" t="s">
        <v>5</v>
      </c>
    </row>
    <row r="806" spans="1:3">
      <c r="A806" t="s">
        <v>75</v>
      </c>
      <c r="B806" t="s">
        <v>153</v>
      </c>
      <c r="C806" t="s">
        <v>5</v>
      </c>
    </row>
    <row r="807" spans="1:3">
      <c r="A807" t="s">
        <v>75</v>
      </c>
      <c r="B807" t="s">
        <v>121</v>
      </c>
      <c r="C807" t="s">
        <v>5</v>
      </c>
    </row>
    <row r="808" spans="1:3">
      <c r="A808" t="s">
        <v>75</v>
      </c>
      <c r="B808" t="s">
        <v>130</v>
      </c>
      <c r="C808" t="s">
        <v>5</v>
      </c>
    </row>
    <row r="809" spans="1:3">
      <c r="A809" t="s">
        <v>75</v>
      </c>
      <c r="B809" t="s">
        <v>135</v>
      </c>
      <c r="C809" t="s">
        <v>5</v>
      </c>
    </row>
    <row r="810" spans="1:3">
      <c r="A810" t="s">
        <v>75</v>
      </c>
      <c r="B810" t="s">
        <v>138</v>
      </c>
      <c r="C810" t="s">
        <v>5</v>
      </c>
    </row>
    <row r="811" spans="1:3">
      <c r="A811" t="s">
        <v>75</v>
      </c>
      <c r="B811" t="s">
        <v>140</v>
      </c>
      <c r="C811" t="s">
        <v>5</v>
      </c>
    </row>
    <row r="812" spans="1:3">
      <c r="A812" t="s">
        <v>75</v>
      </c>
      <c r="B812" t="s">
        <v>142</v>
      </c>
      <c r="C812" t="s">
        <v>5</v>
      </c>
    </row>
    <row r="813" spans="1:3">
      <c r="A813" t="s">
        <v>75</v>
      </c>
      <c r="B813" t="s">
        <v>155</v>
      </c>
      <c r="C813" t="s">
        <v>5</v>
      </c>
    </row>
    <row r="814" spans="1:3">
      <c r="A814" t="s">
        <v>192</v>
      </c>
      <c r="C814" t="s">
        <v>5</v>
      </c>
    </row>
    <row r="815" spans="1:3">
      <c r="A815" t="s">
        <v>193</v>
      </c>
      <c r="C815" t="s">
        <v>5</v>
      </c>
    </row>
    <row r="816" spans="1:3">
      <c r="A816" t="s">
        <v>194</v>
      </c>
      <c r="C816" t="s">
        <v>5</v>
      </c>
    </row>
    <row r="817" spans="1:3">
      <c r="A817" t="s">
        <v>195</v>
      </c>
      <c r="C817" t="s">
        <v>5</v>
      </c>
    </row>
    <row r="818" spans="1:3">
      <c r="A818" t="s">
        <v>196</v>
      </c>
      <c r="C818" t="s">
        <v>5</v>
      </c>
    </row>
    <row r="819" spans="1:3">
      <c r="A819" t="s">
        <v>197</v>
      </c>
      <c r="C819" t="s">
        <v>5</v>
      </c>
    </row>
    <row r="820" spans="1:3">
      <c r="A820" t="s">
        <v>198</v>
      </c>
      <c r="C820" t="s">
        <v>5</v>
      </c>
    </row>
    <row r="821" spans="1:3">
      <c r="A821" t="s">
        <v>199</v>
      </c>
      <c r="C821" t="s">
        <v>5</v>
      </c>
    </row>
    <row r="822" spans="1:3">
      <c r="A822" t="s">
        <v>200</v>
      </c>
      <c r="C822" t="s">
        <v>5</v>
      </c>
    </row>
    <row r="823" spans="1:3">
      <c r="A823" t="s">
        <v>201</v>
      </c>
      <c r="C823" t="s">
        <v>5</v>
      </c>
    </row>
    <row r="824" spans="1:3">
      <c r="A824" t="s">
        <v>202</v>
      </c>
      <c r="C824" t="s">
        <v>5</v>
      </c>
    </row>
    <row r="825" spans="1:3">
      <c r="A825" t="s">
        <v>203</v>
      </c>
      <c r="B825" t="s">
        <v>204</v>
      </c>
      <c r="C825" t="s">
        <v>5</v>
      </c>
    </row>
    <row r="826" spans="1:3">
      <c r="A826" t="s">
        <v>205</v>
      </c>
      <c r="B826" t="s">
        <v>161</v>
      </c>
      <c r="C826" t="s">
        <v>5</v>
      </c>
    </row>
    <row r="827" spans="1:3">
      <c r="A827" t="s">
        <v>205</v>
      </c>
      <c r="B827" t="s">
        <v>109</v>
      </c>
      <c r="C827" t="s">
        <v>5</v>
      </c>
    </row>
    <row r="828" spans="1:3">
      <c r="A828" t="s">
        <v>78</v>
      </c>
      <c r="B828" t="s">
        <v>160</v>
      </c>
      <c r="C828" t="s">
        <v>5</v>
      </c>
    </row>
    <row r="829" spans="1:3">
      <c r="A829" t="s">
        <v>78</v>
      </c>
      <c r="B829" t="s">
        <v>107</v>
      </c>
      <c r="C829" t="s">
        <v>5</v>
      </c>
    </row>
    <row r="830" spans="1:3">
      <c r="A830" t="s">
        <v>78</v>
      </c>
      <c r="B830" t="s">
        <v>112</v>
      </c>
      <c r="C830" t="s">
        <v>5</v>
      </c>
    </row>
    <row r="831" spans="1:3">
      <c r="A831" t="s">
        <v>78</v>
      </c>
      <c r="B831" t="s">
        <v>114</v>
      </c>
      <c r="C831" t="s">
        <v>5</v>
      </c>
    </row>
    <row r="832" spans="1:3">
      <c r="A832" t="s">
        <v>78</v>
      </c>
      <c r="B832" t="s">
        <v>118</v>
      </c>
      <c r="C832" t="s">
        <v>5</v>
      </c>
    </row>
    <row r="833" spans="1:3">
      <c r="A833" t="s">
        <v>78</v>
      </c>
      <c r="B833" t="s">
        <v>119</v>
      </c>
      <c r="C833" t="s">
        <v>5</v>
      </c>
    </row>
    <row r="834" spans="1:3">
      <c r="A834" t="s">
        <v>78</v>
      </c>
      <c r="B834" t="s">
        <v>120</v>
      </c>
      <c r="C834" t="s">
        <v>5</v>
      </c>
    </row>
    <row r="835" spans="1:3">
      <c r="A835" t="s">
        <v>78</v>
      </c>
      <c r="B835" t="s">
        <v>134</v>
      </c>
      <c r="C835" t="s">
        <v>5</v>
      </c>
    </row>
    <row r="836" spans="1:3">
      <c r="A836" t="s">
        <v>78</v>
      </c>
      <c r="B836" t="s">
        <v>145</v>
      </c>
      <c r="C836" t="s">
        <v>5</v>
      </c>
    </row>
    <row r="837" spans="1:3">
      <c r="A837" t="s">
        <v>78</v>
      </c>
      <c r="B837" t="s">
        <v>137</v>
      </c>
      <c r="C837" t="s">
        <v>5</v>
      </c>
    </row>
    <row r="838" spans="1:3">
      <c r="A838" t="s">
        <v>78</v>
      </c>
      <c r="B838" t="s">
        <v>139</v>
      </c>
      <c r="C838" t="s">
        <v>5</v>
      </c>
    </row>
    <row r="839" spans="1:3">
      <c r="A839" t="s">
        <v>78</v>
      </c>
      <c r="B839" t="s">
        <v>141</v>
      </c>
      <c r="C839" t="s">
        <v>5</v>
      </c>
    </row>
    <row r="840" spans="1:3">
      <c r="A840" t="s">
        <v>78</v>
      </c>
      <c r="B840" t="s">
        <v>143</v>
      </c>
      <c r="C840" t="s">
        <v>5</v>
      </c>
    </row>
    <row r="841" spans="1:3">
      <c r="A841" t="s">
        <v>78</v>
      </c>
      <c r="B841" t="s">
        <v>144</v>
      </c>
      <c r="C841" t="s">
        <v>5</v>
      </c>
    </row>
    <row r="842" spans="1:3">
      <c r="A842" t="s">
        <v>79</v>
      </c>
      <c r="B842" t="s">
        <v>150</v>
      </c>
      <c r="C842" t="s">
        <v>5</v>
      </c>
    </row>
    <row r="843" spans="1:3">
      <c r="A843" t="s">
        <v>79</v>
      </c>
      <c r="B843" t="s">
        <v>107</v>
      </c>
      <c r="C843" t="s">
        <v>5</v>
      </c>
    </row>
    <row r="844" spans="1:3">
      <c r="A844" t="s">
        <v>79</v>
      </c>
      <c r="B844" t="s">
        <v>151</v>
      </c>
      <c r="C844" t="s">
        <v>5</v>
      </c>
    </row>
    <row r="845" spans="1:3">
      <c r="A845" t="s">
        <v>79</v>
      </c>
      <c r="B845" t="s">
        <v>112</v>
      </c>
      <c r="C845" t="s">
        <v>5</v>
      </c>
    </row>
    <row r="846" spans="1:3">
      <c r="A846" t="s">
        <v>79</v>
      </c>
      <c r="B846" t="s">
        <v>127</v>
      </c>
      <c r="C846" t="s">
        <v>5</v>
      </c>
    </row>
    <row r="847" spans="1:3">
      <c r="A847" t="s">
        <v>79</v>
      </c>
      <c r="B847" t="s">
        <v>114</v>
      </c>
      <c r="C847" t="s">
        <v>5</v>
      </c>
    </row>
    <row r="848" spans="1:3">
      <c r="A848" t="s">
        <v>79</v>
      </c>
      <c r="B848" t="s">
        <v>153</v>
      </c>
      <c r="C848" t="s">
        <v>5</v>
      </c>
    </row>
    <row r="849" spans="1:3">
      <c r="A849" t="s">
        <v>79</v>
      </c>
      <c r="B849" t="s">
        <v>118</v>
      </c>
      <c r="C849" t="s">
        <v>5</v>
      </c>
    </row>
    <row r="850" spans="1:3">
      <c r="A850" t="s">
        <v>79</v>
      </c>
      <c r="B850" t="s">
        <v>121</v>
      </c>
      <c r="C850" t="s">
        <v>5</v>
      </c>
    </row>
    <row r="851" spans="1:3">
      <c r="A851" t="s">
        <v>79</v>
      </c>
      <c r="B851" t="s">
        <v>130</v>
      </c>
      <c r="C851" t="s">
        <v>5</v>
      </c>
    </row>
    <row r="852" spans="1:3">
      <c r="A852" t="s">
        <v>79</v>
      </c>
      <c r="B852" t="s">
        <v>134</v>
      </c>
      <c r="C852" t="s">
        <v>5</v>
      </c>
    </row>
    <row r="853" spans="1:3">
      <c r="A853" t="s">
        <v>79</v>
      </c>
      <c r="B853" t="s">
        <v>135</v>
      </c>
      <c r="C853" t="s">
        <v>5</v>
      </c>
    </row>
    <row r="854" spans="1:3">
      <c r="A854" t="s">
        <v>79</v>
      </c>
      <c r="B854" t="s">
        <v>138</v>
      </c>
      <c r="C854" t="s">
        <v>5</v>
      </c>
    </row>
    <row r="855" spans="1:3">
      <c r="A855" t="s">
        <v>79</v>
      </c>
      <c r="B855" t="s">
        <v>139</v>
      </c>
      <c r="C855" t="s">
        <v>5</v>
      </c>
    </row>
    <row r="856" spans="1:3">
      <c r="A856" t="s">
        <v>79</v>
      </c>
      <c r="B856" t="s">
        <v>140</v>
      </c>
      <c r="C856" t="s">
        <v>5</v>
      </c>
    </row>
    <row r="857" spans="1:3">
      <c r="A857" t="s">
        <v>79</v>
      </c>
      <c r="B857" t="s">
        <v>142</v>
      </c>
      <c r="C857" t="s">
        <v>5</v>
      </c>
    </row>
    <row r="858" spans="1:3">
      <c r="A858" t="s">
        <v>79</v>
      </c>
      <c r="B858" t="s">
        <v>143</v>
      </c>
      <c r="C858" t="s">
        <v>5</v>
      </c>
    </row>
    <row r="859" spans="1:3">
      <c r="A859" t="s">
        <v>79</v>
      </c>
      <c r="B859" t="s">
        <v>155</v>
      </c>
      <c r="C859" t="s">
        <v>5</v>
      </c>
    </row>
    <row r="860" spans="1:3">
      <c r="A860" t="s">
        <v>79</v>
      </c>
      <c r="B860" t="s">
        <v>147</v>
      </c>
      <c r="C860" t="s">
        <v>5</v>
      </c>
    </row>
    <row r="861" spans="1:3">
      <c r="A861" t="s">
        <v>80</v>
      </c>
      <c r="B861" t="s">
        <v>160</v>
      </c>
      <c r="C861" t="s">
        <v>5</v>
      </c>
    </row>
    <row r="862" spans="1:3">
      <c r="A862" t="s">
        <v>80</v>
      </c>
      <c r="B862" t="s">
        <v>150</v>
      </c>
      <c r="C862" t="s">
        <v>5</v>
      </c>
    </row>
    <row r="863" spans="1:3">
      <c r="A863" t="s">
        <v>80</v>
      </c>
      <c r="B863" t="s">
        <v>107</v>
      </c>
      <c r="C863" t="s">
        <v>5</v>
      </c>
    </row>
    <row r="864" spans="1:3">
      <c r="A864" t="s">
        <v>80</v>
      </c>
      <c r="B864" t="s">
        <v>108</v>
      </c>
      <c r="C864" t="s">
        <v>5</v>
      </c>
    </row>
    <row r="865" spans="1:3">
      <c r="A865" t="s">
        <v>80</v>
      </c>
      <c r="B865" t="s">
        <v>109</v>
      </c>
      <c r="C865" t="s">
        <v>5</v>
      </c>
    </row>
    <row r="866" spans="1:3">
      <c r="A866" t="s">
        <v>80</v>
      </c>
      <c r="B866" t="s">
        <v>151</v>
      </c>
      <c r="C866" t="s">
        <v>5</v>
      </c>
    </row>
    <row r="867" spans="1:3">
      <c r="A867" t="s">
        <v>80</v>
      </c>
      <c r="B867" t="s">
        <v>112</v>
      </c>
      <c r="C867" t="s">
        <v>5</v>
      </c>
    </row>
    <row r="868" spans="1:3">
      <c r="A868" t="s">
        <v>80</v>
      </c>
      <c r="B868" t="s">
        <v>127</v>
      </c>
      <c r="C868" t="s">
        <v>5</v>
      </c>
    </row>
    <row r="869" spans="1:3">
      <c r="A869" t="s">
        <v>80</v>
      </c>
      <c r="B869" t="s">
        <v>114</v>
      </c>
      <c r="C869" t="s">
        <v>5</v>
      </c>
    </row>
    <row r="870" spans="1:3">
      <c r="A870" t="s">
        <v>80</v>
      </c>
      <c r="B870" t="s">
        <v>152</v>
      </c>
      <c r="C870" t="s">
        <v>5</v>
      </c>
    </row>
    <row r="871" spans="1:3">
      <c r="A871" t="s">
        <v>80</v>
      </c>
      <c r="B871" t="s">
        <v>153</v>
      </c>
      <c r="C871" t="s">
        <v>5</v>
      </c>
    </row>
    <row r="872" spans="1:3">
      <c r="A872" t="s">
        <v>80</v>
      </c>
      <c r="B872" t="s">
        <v>118</v>
      </c>
      <c r="C872" t="s">
        <v>5</v>
      </c>
    </row>
    <row r="873" spans="1:3">
      <c r="A873" t="s">
        <v>80</v>
      </c>
      <c r="B873" t="s">
        <v>121</v>
      </c>
      <c r="C873" t="s">
        <v>5</v>
      </c>
    </row>
    <row r="874" spans="1:3">
      <c r="A874" t="s">
        <v>80</v>
      </c>
      <c r="B874" t="s">
        <v>130</v>
      </c>
      <c r="C874" t="s">
        <v>5</v>
      </c>
    </row>
    <row r="875" spans="1:3">
      <c r="A875" t="s">
        <v>80</v>
      </c>
      <c r="B875" t="s">
        <v>131</v>
      </c>
      <c r="C875" t="s">
        <v>5</v>
      </c>
    </row>
    <row r="876" spans="1:3">
      <c r="A876" t="s">
        <v>80</v>
      </c>
      <c r="B876" t="s">
        <v>132</v>
      </c>
      <c r="C876" t="s">
        <v>5</v>
      </c>
    </row>
    <row r="877" spans="1:3">
      <c r="A877" t="s">
        <v>80</v>
      </c>
      <c r="B877" t="s">
        <v>133</v>
      </c>
      <c r="C877" t="s">
        <v>5</v>
      </c>
    </row>
    <row r="878" spans="1:3">
      <c r="A878" t="s">
        <v>80</v>
      </c>
      <c r="B878" t="s">
        <v>134</v>
      </c>
      <c r="C878" t="s">
        <v>5</v>
      </c>
    </row>
    <row r="879" spans="1:3">
      <c r="A879" t="s">
        <v>80</v>
      </c>
      <c r="B879" t="s">
        <v>135</v>
      </c>
      <c r="C879" t="s">
        <v>5</v>
      </c>
    </row>
    <row r="880" spans="1:3">
      <c r="A880" t="s">
        <v>80</v>
      </c>
      <c r="B880" t="s">
        <v>138</v>
      </c>
      <c r="C880" t="s">
        <v>5</v>
      </c>
    </row>
    <row r="881" spans="1:3">
      <c r="A881" t="s">
        <v>80</v>
      </c>
      <c r="B881" t="s">
        <v>139</v>
      </c>
      <c r="C881" t="s">
        <v>5</v>
      </c>
    </row>
    <row r="882" spans="1:3">
      <c r="A882" t="s">
        <v>80</v>
      </c>
      <c r="B882" t="s">
        <v>140</v>
      </c>
      <c r="C882" t="s">
        <v>5</v>
      </c>
    </row>
    <row r="883" spans="1:3">
      <c r="A883" t="s">
        <v>80</v>
      </c>
      <c r="B883" t="s">
        <v>142</v>
      </c>
      <c r="C883" t="s">
        <v>5</v>
      </c>
    </row>
    <row r="884" spans="1:3">
      <c r="A884" t="s">
        <v>80</v>
      </c>
      <c r="B884" t="s">
        <v>143</v>
      </c>
      <c r="C884" t="s">
        <v>5</v>
      </c>
    </row>
    <row r="885" spans="1:3">
      <c r="A885" t="s">
        <v>80</v>
      </c>
      <c r="B885" t="s">
        <v>146</v>
      </c>
      <c r="C885" t="s">
        <v>5</v>
      </c>
    </row>
    <row r="886" spans="1:3">
      <c r="A886" t="s">
        <v>80</v>
      </c>
      <c r="B886" t="s">
        <v>155</v>
      </c>
      <c r="C886" t="s">
        <v>5</v>
      </c>
    </row>
    <row r="887" spans="1:3">
      <c r="A887" t="s">
        <v>80</v>
      </c>
      <c r="B887" t="s">
        <v>144</v>
      </c>
      <c r="C887" t="s">
        <v>5</v>
      </c>
    </row>
    <row r="888" spans="1:3">
      <c r="A888" t="s">
        <v>80</v>
      </c>
      <c r="B888" t="s">
        <v>147</v>
      </c>
      <c r="C888" t="s">
        <v>5</v>
      </c>
    </row>
    <row r="889" spans="1:3">
      <c r="A889" t="s">
        <v>81</v>
      </c>
      <c r="B889" t="s">
        <v>160</v>
      </c>
      <c r="C889" t="s">
        <v>5</v>
      </c>
    </row>
    <row r="890" spans="1:3">
      <c r="A890" t="s">
        <v>81</v>
      </c>
      <c r="B890" t="s">
        <v>107</v>
      </c>
      <c r="C890" t="s">
        <v>5</v>
      </c>
    </row>
    <row r="891" spans="1:3">
      <c r="A891" t="s">
        <v>81</v>
      </c>
      <c r="B891" t="s">
        <v>112</v>
      </c>
      <c r="C891" t="s">
        <v>5</v>
      </c>
    </row>
    <row r="892" spans="1:3">
      <c r="A892" t="s">
        <v>81</v>
      </c>
      <c r="B892" t="s">
        <v>114</v>
      </c>
      <c r="C892" t="s">
        <v>5</v>
      </c>
    </row>
    <row r="893" spans="1:3">
      <c r="A893" t="s">
        <v>81</v>
      </c>
      <c r="B893" t="s">
        <v>118</v>
      </c>
      <c r="C893" t="s">
        <v>5</v>
      </c>
    </row>
    <row r="894" spans="1:3">
      <c r="A894" t="s">
        <v>81</v>
      </c>
      <c r="B894" t="s">
        <v>134</v>
      </c>
      <c r="C894" t="s">
        <v>5</v>
      </c>
    </row>
    <row r="895" spans="1:3">
      <c r="A895" t="s">
        <v>81</v>
      </c>
      <c r="B895" t="s">
        <v>139</v>
      </c>
      <c r="C895" t="s">
        <v>5</v>
      </c>
    </row>
    <row r="896" spans="1:3">
      <c r="A896" t="s">
        <v>81</v>
      </c>
      <c r="B896" t="s">
        <v>143</v>
      </c>
      <c r="C896" t="s">
        <v>5</v>
      </c>
    </row>
    <row r="897" spans="1:3">
      <c r="A897" t="s">
        <v>81</v>
      </c>
      <c r="B897" t="s">
        <v>147</v>
      </c>
      <c r="C897" t="s">
        <v>5</v>
      </c>
    </row>
    <row r="898" spans="1:3">
      <c r="A898" t="s">
        <v>82</v>
      </c>
      <c r="B898" t="s">
        <v>159</v>
      </c>
      <c r="C898" t="s">
        <v>5</v>
      </c>
    </row>
    <row r="899" spans="1:3">
      <c r="A899" t="s">
        <v>82</v>
      </c>
      <c r="B899" t="s">
        <v>150</v>
      </c>
      <c r="C899" t="s">
        <v>5</v>
      </c>
    </row>
    <row r="900" spans="1:3">
      <c r="A900" t="s">
        <v>82</v>
      </c>
      <c r="B900" t="s">
        <v>185</v>
      </c>
      <c r="C900" t="s">
        <v>5</v>
      </c>
    </row>
    <row r="901" spans="1:3">
      <c r="A901" t="s">
        <v>82</v>
      </c>
      <c r="B901" t="s">
        <v>161</v>
      </c>
      <c r="C901" t="s">
        <v>5</v>
      </c>
    </row>
    <row r="902" spans="1:3">
      <c r="A902" t="s">
        <v>82</v>
      </c>
      <c r="B902" t="s">
        <v>186</v>
      </c>
      <c r="C902" t="s">
        <v>5</v>
      </c>
    </row>
    <row r="903" spans="1:3">
      <c r="A903" t="s">
        <v>82</v>
      </c>
      <c r="B903" t="s">
        <v>187</v>
      </c>
      <c r="C903" t="s">
        <v>5</v>
      </c>
    </row>
    <row r="904" spans="1:3">
      <c r="A904" t="s">
        <v>82</v>
      </c>
      <c r="B904" t="s">
        <v>151</v>
      </c>
      <c r="C904" t="s">
        <v>5</v>
      </c>
    </row>
    <row r="905" spans="1:3">
      <c r="A905" t="s">
        <v>82</v>
      </c>
      <c r="B905" t="s">
        <v>188</v>
      </c>
      <c r="C905" t="s">
        <v>5</v>
      </c>
    </row>
    <row r="906" spans="1:3">
      <c r="A906" t="s">
        <v>82</v>
      </c>
      <c r="B906" t="s">
        <v>127</v>
      </c>
      <c r="C906" t="s">
        <v>5</v>
      </c>
    </row>
    <row r="907" spans="1:3">
      <c r="A907" t="s">
        <v>82</v>
      </c>
      <c r="B907" t="s">
        <v>189</v>
      </c>
      <c r="C907" t="s">
        <v>5</v>
      </c>
    </row>
    <row r="908" spans="1:3">
      <c r="A908" t="s">
        <v>82</v>
      </c>
      <c r="B908" t="s">
        <v>152</v>
      </c>
      <c r="C908" t="s">
        <v>5</v>
      </c>
    </row>
    <row r="909" spans="1:3">
      <c r="A909" t="s">
        <v>82</v>
      </c>
      <c r="B909" t="s">
        <v>153</v>
      </c>
      <c r="C909" t="s">
        <v>5</v>
      </c>
    </row>
    <row r="910" spans="1:3">
      <c r="A910" t="s">
        <v>82</v>
      </c>
      <c r="B910" t="s">
        <v>154</v>
      </c>
      <c r="C910" t="s">
        <v>5</v>
      </c>
    </row>
    <row r="911" spans="1:3">
      <c r="A911" t="s">
        <v>82</v>
      </c>
      <c r="B911" t="s">
        <v>128</v>
      </c>
      <c r="C911" t="s">
        <v>5</v>
      </c>
    </row>
    <row r="912" spans="1:3">
      <c r="A912" t="s">
        <v>82</v>
      </c>
      <c r="B912" t="s">
        <v>129</v>
      </c>
      <c r="C912" t="s">
        <v>5</v>
      </c>
    </row>
    <row r="913" spans="1:3">
      <c r="A913" t="s">
        <v>82</v>
      </c>
      <c r="B913" t="s">
        <v>121</v>
      </c>
      <c r="C913" t="s">
        <v>5</v>
      </c>
    </row>
    <row r="914" spans="1:3">
      <c r="A914" t="s">
        <v>82</v>
      </c>
      <c r="B914" t="s">
        <v>130</v>
      </c>
      <c r="C914" t="s">
        <v>5</v>
      </c>
    </row>
    <row r="915" spans="1:3">
      <c r="A915" t="s">
        <v>82</v>
      </c>
      <c r="B915" t="s">
        <v>131</v>
      </c>
      <c r="C915" t="s">
        <v>5</v>
      </c>
    </row>
    <row r="916" spans="1:3">
      <c r="A916" t="s">
        <v>82</v>
      </c>
      <c r="B916" t="s">
        <v>133</v>
      </c>
      <c r="C916" t="s">
        <v>5</v>
      </c>
    </row>
    <row r="917" spans="1:3">
      <c r="A917" t="s">
        <v>82</v>
      </c>
      <c r="B917" t="s">
        <v>135</v>
      </c>
      <c r="C917" t="s">
        <v>5</v>
      </c>
    </row>
    <row r="918" spans="1:3">
      <c r="A918" t="s">
        <v>82</v>
      </c>
      <c r="B918" t="s">
        <v>162</v>
      </c>
      <c r="C918" t="s">
        <v>5</v>
      </c>
    </row>
    <row r="919" spans="1:3">
      <c r="A919" t="s">
        <v>82</v>
      </c>
      <c r="B919" t="s">
        <v>136</v>
      </c>
      <c r="C919" t="s">
        <v>5</v>
      </c>
    </row>
    <row r="920" spans="1:3">
      <c r="A920" t="s">
        <v>82</v>
      </c>
      <c r="B920" t="s">
        <v>138</v>
      </c>
      <c r="C920" t="s">
        <v>5</v>
      </c>
    </row>
    <row r="921" spans="1:3">
      <c r="A921" t="s">
        <v>82</v>
      </c>
      <c r="B921" t="s">
        <v>140</v>
      </c>
      <c r="C921" t="s">
        <v>5</v>
      </c>
    </row>
    <row r="922" spans="1:3">
      <c r="A922" t="s">
        <v>82</v>
      </c>
      <c r="B922" t="s">
        <v>142</v>
      </c>
      <c r="C922" t="s">
        <v>5</v>
      </c>
    </row>
    <row r="923" spans="1:3">
      <c r="A923" t="s">
        <v>82</v>
      </c>
      <c r="B923" t="s">
        <v>166</v>
      </c>
      <c r="C923" t="s">
        <v>5</v>
      </c>
    </row>
    <row r="924" spans="1:3">
      <c r="A924" t="s">
        <v>82</v>
      </c>
      <c r="B924" t="s">
        <v>167</v>
      </c>
      <c r="C924" t="s">
        <v>5</v>
      </c>
    </row>
    <row r="925" spans="1:3">
      <c r="A925" t="s">
        <v>82</v>
      </c>
      <c r="B925" t="s">
        <v>168</v>
      </c>
      <c r="C925" t="s">
        <v>5</v>
      </c>
    </row>
    <row r="926" spans="1:3">
      <c r="A926" t="s">
        <v>82</v>
      </c>
      <c r="B926" t="s">
        <v>170</v>
      </c>
      <c r="C926" t="s">
        <v>5</v>
      </c>
    </row>
    <row r="927" spans="1:3">
      <c r="A927" t="s">
        <v>82</v>
      </c>
      <c r="B927" t="s">
        <v>155</v>
      </c>
      <c r="C927" t="s">
        <v>5</v>
      </c>
    </row>
    <row r="928" spans="1:3">
      <c r="A928" t="s">
        <v>82</v>
      </c>
      <c r="B928" t="s">
        <v>190</v>
      </c>
      <c r="C928" t="s">
        <v>5</v>
      </c>
    </row>
    <row r="929" spans="1:3">
      <c r="A929" t="s">
        <v>83</v>
      </c>
      <c r="B929" t="s">
        <v>159</v>
      </c>
      <c r="C929" t="s">
        <v>5</v>
      </c>
    </row>
    <row r="930" spans="1:3">
      <c r="A930" t="s">
        <v>83</v>
      </c>
      <c r="B930" t="s">
        <v>150</v>
      </c>
      <c r="C930" t="s">
        <v>5</v>
      </c>
    </row>
    <row r="931" spans="1:3">
      <c r="A931" t="s">
        <v>83</v>
      </c>
      <c r="B931" t="s">
        <v>185</v>
      </c>
      <c r="C931" t="s">
        <v>5</v>
      </c>
    </row>
    <row r="932" spans="1:3">
      <c r="A932" t="s">
        <v>83</v>
      </c>
      <c r="B932" t="s">
        <v>161</v>
      </c>
      <c r="C932" t="s">
        <v>5</v>
      </c>
    </row>
    <row r="933" spans="1:3">
      <c r="A933" t="s">
        <v>83</v>
      </c>
      <c r="B933" t="s">
        <v>186</v>
      </c>
      <c r="C933" t="s">
        <v>5</v>
      </c>
    </row>
    <row r="934" spans="1:3">
      <c r="A934" t="s">
        <v>83</v>
      </c>
      <c r="B934" t="s">
        <v>187</v>
      </c>
      <c r="C934" t="s">
        <v>5</v>
      </c>
    </row>
    <row r="935" spans="1:3">
      <c r="A935" t="s">
        <v>83</v>
      </c>
      <c r="B935" t="s">
        <v>151</v>
      </c>
      <c r="C935" t="s">
        <v>5</v>
      </c>
    </row>
    <row r="936" spans="1:3">
      <c r="A936" t="s">
        <v>83</v>
      </c>
      <c r="B936" t="s">
        <v>174</v>
      </c>
      <c r="C936" t="s">
        <v>5</v>
      </c>
    </row>
    <row r="937" spans="1:3">
      <c r="A937" t="s">
        <v>83</v>
      </c>
      <c r="B937" t="s">
        <v>188</v>
      </c>
      <c r="C937" t="s">
        <v>5</v>
      </c>
    </row>
    <row r="938" spans="1:3">
      <c r="A938" t="s">
        <v>83</v>
      </c>
      <c r="B938" t="s">
        <v>127</v>
      </c>
      <c r="C938" t="s">
        <v>5</v>
      </c>
    </row>
    <row r="939" spans="1:3">
      <c r="A939" t="s">
        <v>83</v>
      </c>
      <c r="B939" t="s">
        <v>189</v>
      </c>
      <c r="C939" t="s">
        <v>5</v>
      </c>
    </row>
    <row r="940" spans="1:3">
      <c r="A940" t="s">
        <v>83</v>
      </c>
      <c r="B940" t="s">
        <v>152</v>
      </c>
      <c r="C940" t="s">
        <v>5</v>
      </c>
    </row>
    <row r="941" spans="1:3">
      <c r="A941" t="s">
        <v>83</v>
      </c>
      <c r="B941" t="s">
        <v>153</v>
      </c>
      <c r="C941" t="s">
        <v>5</v>
      </c>
    </row>
    <row r="942" spans="1:3">
      <c r="A942" t="s">
        <v>83</v>
      </c>
      <c r="B942" t="s">
        <v>154</v>
      </c>
      <c r="C942" t="s">
        <v>5</v>
      </c>
    </row>
    <row r="943" spans="1:3">
      <c r="A943" t="s">
        <v>83</v>
      </c>
      <c r="B943" t="s">
        <v>128</v>
      </c>
      <c r="C943" t="s">
        <v>5</v>
      </c>
    </row>
    <row r="944" spans="1:3">
      <c r="A944" t="s">
        <v>83</v>
      </c>
      <c r="B944" t="s">
        <v>129</v>
      </c>
      <c r="C944" t="s">
        <v>5</v>
      </c>
    </row>
    <row r="945" spans="1:3">
      <c r="A945" t="s">
        <v>83</v>
      </c>
      <c r="B945" t="s">
        <v>121</v>
      </c>
      <c r="C945" t="s">
        <v>5</v>
      </c>
    </row>
    <row r="946" spans="1:3">
      <c r="A946" t="s">
        <v>83</v>
      </c>
      <c r="B946" t="s">
        <v>130</v>
      </c>
      <c r="C946" t="s">
        <v>5</v>
      </c>
    </row>
    <row r="947" spans="1:3">
      <c r="A947" t="s">
        <v>83</v>
      </c>
      <c r="B947" t="s">
        <v>131</v>
      </c>
      <c r="C947" t="s">
        <v>5</v>
      </c>
    </row>
    <row r="948" spans="1:3">
      <c r="A948" t="s">
        <v>83</v>
      </c>
      <c r="B948" t="s">
        <v>133</v>
      </c>
      <c r="C948" t="s">
        <v>5</v>
      </c>
    </row>
    <row r="949" spans="1:3">
      <c r="A949" t="s">
        <v>83</v>
      </c>
      <c r="B949" t="s">
        <v>135</v>
      </c>
      <c r="C949" t="s">
        <v>5</v>
      </c>
    </row>
    <row r="950" spans="1:3">
      <c r="A950" t="s">
        <v>83</v>
      </c>
      <c r="B950" t="s">
        <v>162</v>
      </c>
      <c r="C950" t="s">
        <v>5</v>
      </c>
    </row>
    <row r="951" spans="1:3">
      <c r="A951" t="s">
        <v>83</v>
      </c>
      <c r="B951" t="s">
        <v>136</v>
      </c>
      <c r="C951" t="s">
        <v>5</v>
      </c>
    </row>
    <row r="952" spans="1:3">
      <c r="A952" t="s">
        <v>83</v>
      </c>
      <c r="B952" t="s">
        <v>138</v>
      </c>
      <c r="C952" t="s">
        <v>5</v>
      </c>
    </row>
    <row r="953" spans="1:3">
      <c r="A953" t="s">
        <v>83</v>
      </c>
      <c r="B953" t="s">
        <v>140</v>
      </c>
      <c r="C953" t="s">
        <v>5</v>
      </c>
    </row>
    <row r="954" spans="1:3">
      <c r="A954" t="s">
        <v>83</v>
      </c>
      <c r="B954" t="s">
        <v>142</v>
      </c>
      <c r="C954" t="s">
        <v>5</v>
      </c>
    </row>
    <row r="955" spans="1:3">
      <c r="A955" t="s">
        <v>83</v>
      </c>
      <c r="B955" t="s">
        <v>166</v>
      </c>
      <c r="C955" t="s">
        <v>5</v>
      </c>
    </row>
    <row r="956" spans="1:3">
      <c r="A956" t="s">
        <v>83</v>
      </c>
      <c r="B956" t="s">
        <v>167</v>
      </c>
      <c r="C956" t="s">
        <v>5</v>
      </c>
    </row>
    <row r="957" spans="1:3">
      <c r="A957" t="s">
        <v>83</v>
      </c>
      <c r="B957" t="s">
        <v>168</v>
      </c>
      <c r="C957" t="s">
        <v>5</v>
      </c>
    </row>
    <row r="958" spans="1:3">
      <c r="A958" t="s">
        <v>83</v>
      </c>
      <c r="B958" t="s">
        <v>170</v>
      </c>
      <c r="C958" t="s">
        <v>5</v>
      </c>
    </row>
    <row r="959" spans="1:3">
      <c r="A959" t="s">
        <v>83</v>
      </c>
      <c r="B959" t="s">
        <v>155</v>
      </c>
      <c r="C959" t="s">
        <v>5</v>
      </c>
    </row>
    <row r="960" spans="1:3">
      <c r="A960" t="s">
        <v>83</v>
      </c>
      <c r="B960" t="s">
        <v>144</v>
      </c>
      <c r="C960" t="s">
        <v>5</v>
      </c>
    </row>
    <row r="961" spans="1:3">
      <c r="A961" t="s">
        <v>83</v>
      </c>
      <c r="B961" t="s">
        <v>190</v>
      </c>
      <c r="C961" t="s">
        <v>5</v>
      </c>
    </row>
    <row r="962" spans="1:3">
      <c r="A962" t="s">
        <v>84</v>
      </c>
      <c r="B962" t="s">
        <v>150</v>
      </c>
      <c r="C962" t="s">
        <v>5</v>
      </c>
    </row>
    <row r="963" spans="1:3">
      <c r="A963" t="s">
        <v>84</v>
      </c>
      <c r="B963" t="s">
        <v>107</v>
      </c>
      <c r="C963" t="s">
        <v>5</v>
      </c>
    </row>
    <row r="964" spans="1:3">
      <c r="A964" t="s">
        <v>84</v>
      </c>
      <c r="B964" t="s">
        <v>151</v>
      </c>
      <c r="C964" t="s">
        <v>5</v>
      </c>
    </row>
    <row r="965" spans="1:3">
      <c r="A965" t="s">
        <v>84</v>
      </c>
      <c r="B965" t="s">
        <v>112</v>
      </c>
      <c r="C965" t="s">
        <v>5</v>
      </c>
    </row>
    <row r="966" spans="1:3">
      <c r="A966" t="s">
        <v>84</v>
      </c>
      <c r="B966" t="s">
        <v>127</v>
      </c>
      <c r="C966" t="s">
        <v>5</v>
      </c>
    </row>
    <row r="967" spans="1:3">
      <c r="A967" t="s">
        <v>84</v>
      </c>
      <c r="B967" t="s">
        <v>114</v>
      </c>
      <c r="C967" t="s">
        <v>5</v>
      </c>
    </row>
    <row r="968" spans="1:3">
      <c r="A968" t="s">
        <v>84</v>
      </c>
      <c r="B968" t="s">
        <v>153</v>
      </c>
      <c r="C968" t="s">
        <v>5</v>
      </c>
    </row>
    <row r="969" spans="1:3">
      <c r="A969" t="s">
        <v>84</v>
      </c>
      <c r="B969" t="s">
        <v>118</v>
      </c>
      <c r="C969" t="s">
        <v>5</v>
      </c>
    </row>
    <row r="970" spans="1:3">
      <c r="A970" t="s">
        <v>84</v>
      </c>
      <c r="B970" t="s">
        <v>121</v>
      </c>
      <c r="C970" t="s">
        <v>5</v>
      </c>
    </row>
    <row r="971" spans="1:3">
      <c r="A971" t="s">
        <v>84</v>
      </c>
      <c r="B971" t="s">
        <v>130</v>
      </c>
      <c r="C971" t="s">
        <v>5</v>
      </c>
    </row>
    <row r="972" spans="1:3">
      <c r="A972" t="s">
        <v>84</v>
      </c>
      <c r="B972" t="s">
        <v>134</v>
      </c>
      <c r="C972" t="s">
        <v>5</v>
      </c>
    </row>
    <row r="973" spans="1:3">
      <c r="A973" t="s">
        <v>84</v>
      </c>
      <c r="B973" t="s">
        <v>135</v>
      </c>
      <c r="C973" t="s">
        <v>5</v>
      </c>
    </row>
    <row r="974" spans="1:3">
      <c r="A974" t="s">
        <v>84</v>
      </c>
      <c r="B974" t="s">
        <v>138</v>
      </c>
      <c r="C974" t="s">
        <v>5</v>
      </c>
    </row>
    <row r="975" spans="1:3">
      <c r="A975" t="s">
        <v>84</v>
      </c>
      <c r="B975" t="s">
        <v>139</v>
      </c>
      <c r="C975" t="s">
        <v>5</v>
      </c>
    </row>
    <row r="976" spans="1:3">
      <c r="A976" t="s">
        <v>84</v>
      </c>
      <c r="B976" t="s">
        <v>140</v>
      </c>
      <c r="C976" t="s">
        <v>5</v>
      </c>
    </row>
    <row r="977" spans="1:3">
      <c r="A977" t="s">
        <v>84</v>
      </c>
      <c r="B977" t="s">
        <v>142</v>
      </c>
      <c r="C977" t="s">
        <v>5</v>
      </c>
    </row>
    <row r="978" spans="1:3">
      <c r="A978" t="s">
        <v>84</v>
      </c>
      <c r="B978" t="s">
        <v>143</v>
      </c>
      <c r="C978" t="s">
        <v>5</v>
      </c>
    </row>
    <row r="979" spans="1:3">
      <c r="A979" t="s">
        <v>84</v>
      </c>
      <c r="B979" t="s">
        <v>155</v>
      </c>
      <c r="C979" t="s">
        <v>5</v>
      </c>
    </row>
    <row r="980" spans="1:3">
      <c r="A980" t="s">
        <v>85</v>
      </c>
      <c r="B980" t="s">
        <v>150</v>
      </c>
      <c r="C980" t="s">
        <v>5</v>
      </c>
    </row>
    <row r="981" spans="1:3">
      <c r="A981" t="s">
        <v>85</v>
      </c>
      <c r="B981" t="s">
        <v>107</v>
      </c>
      <c r="C981" t="s">
        <v>5</v>
      </c>
    </row>
    <row r="982" spans="1:3">
      <c r="A982" t="s">
        <v>85</v>
      </c>
      <c r="B982" t="s">
        <v>151</v>
      </c>
      <c r="C982" t="s">
        <v>5</v>
      </c>
    </row>
    <row r="983" spans="1:3">
      <c r="A983" t="s">
        <v>85</v>
      </c>
      <c r="B983" t="s">
        <v>112</v>
      </c>
      <c r="C983" t="s">
        <v>5</v>
      </c>
    </row>
    <row r="984" spans="1:3">
      <c r="A984" t="s">
        <v>85</v>
      </c>
      <c r="B984" t="s">
        <v>127</v>
      </c>
      <c r="C984" t="s">
        <v>5</v>
      </c>
    </row>
    <row r="985" spans="1:3">
      <c r="A985" t="s">
        <v>85</v>
      </c>
      <c r="B985" t="s">
        <v>114</v>
      </c>
      <c r="C985" t="s">
        <v>5</v>
      </c>
    </row>
    <row r="986" spans="1:3">
      <c r="A986" t="s">
        <v>85</v>
      </c>
      <c r="B986" t="s">
        <v>153</v>
      </c>
      <c r="C986" t="s">
        <v>5</v>
      </c>
    </row>
    <row r="987" spans="1:3">
      <c r="A987" t="s">
        <v>85</v>
      </c>
      <c r="B987" t="s">
        <v>118</v>
      </c>
      <c r="C987" t="s">
        <v>5</v>
      </c>
    </row>
    <row r="988" spans="1:3">
      <c r="A988" t="s">
        <v>85</v>
      </c>
      <c r="B988" t="s">
        <v>121</v>
      </c>
      <c r="C988" t="s">
        <v>5</v>
      </c>
    </row>
    <row r="989" spans="1:3">
      <c r="A989" t="s">
        <v>85</v>
      </c>
      <c r="B989" t="s">
        <v>130</v>
      </c>
      <c r="C989" t="s">
        <v>5</v>
      </c>
    </row>
    <row r="990" spans="1:3">
      <c r="A990" t="s">
        <v>85</v>
      </c>
      <c r="B990" t="s">
        <v>134</v>
      </c>
      <c r="C990" t="s">
        <v>5</v>
      </c>
    </row>
    <row r="991" spans="1:3">
      <c r="A991" t="s">
        <v>85</v>
      </c>
      <c r="B991" t="s">
        <v>135</v>
      </c>
      <c r="C991" t="s">
        <v>5</v>
      </c>
    </row>
    <row r="992" spans="1:3">
      <c r="A992" t="s">
        <v>85</v>
      </c>
      <c r="B992" t="s">
        <v>138</v>
      </c>
      <c r="C992" t="s">
        <v>5</v>
      </c>
    </row>
    <row r="993" spans="1:3">
      <c r="A993" t="s">
        <v>85</v>
      </c>
      <c r="B993" t="s">
        <v>139</v>
      </c>
      <c r="C993" t="s">
        <v>5</v>
      </c>
    </row>
    <row r="994" spans="1:3">
      <c r="A994" t="s">
        <v>85</v>
      </c>
      <c r="B994" t="s">
        <v>140</v>
      </c>
      <c r="C994" t="s">
        <v>5</v>
      </c>
    </row>
    <row r="995" spans="1:3">
      <c r="A995" t="s">
        <v>85</v>
      </c>
      <c r="B995" t="s">
        <v>142</v>
      </c>
      <c r="C995" t="s">
        <v>5</v>
      </c>
    </row>
    <row r="996" spans="1:3">
      <c r="A996" t="s">
        <v>85</v>
      </c>
      <c r="B996" t="s">
        <v>143</v>
      </c>
      <c r="C996" t="s">
        <v>5</v>
      </c>
    </row>
    <row r="997" spans="1:3">
      <c r="A997" t="s">
        <v>85</v>
      </c>
      <c r="B997" t="s">
        <v>155</v>
      </c>
      <c r="C997" t="s">
        <v>5</v>
      </c>
    </row>
    <row r="998" spans="1:3">
      <c r="A998" t="s">
        <v>86</v>
      </c>
      <c r="B998" t="s">
        <v>159</v>
      </c>
      <c r="C998" t="s">
        <v>5</v>
      </c>
    </row>
    <row r="999" spans="1:3">
      <c r="A999" t="s">
        <v>86</v>
      </c>
      <c r="B999" t="s">
        <v>160</v>
      </c>
      <c r="C999" t="s">
        <v>5</v>
      </c>
    </row>
    <row r="1000" spans="1:3">
      <c r="A1000" t="s">
        <v>86</v>
      </c>
      <c r="B1000" t="s">
        <v>150</v>
      </c>
      <c r="C1000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91D2-324F-47D5-B5E7-2B7902D4A9E0}">
  <dimension ref="A1:C984"/>
  <sheetViews>
    <sheetView workbookViewId="0"/>
  </sheetViews>
  <sheetFormatPr defaultRowHeight="15"/>
  <cols>
    <col min="1" max="1" width="57.42578125" bestFit="1" customWidth="1"/>
    <col min="2" max="2" width="14" bestFit="1" customWidth="1"/>
    <col min="3" max="3" width="8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206</v>
      </c>
      <c r="C2" t="s">
        <v>5</v>
      </c>
    </row>
    <row r="3" spans="1:3">
      <c r="A3" t="s">
        <v>6</v>
      </c>
      <c r="B3" t="s">
        <v>207</v>
      </c>
      <c r="C3" t="s">
        <v>5</v>
      </c>
    </row>
    <row r="4" spans="1:3">
      <c r="A4" t="s">
        <v>6</v>
      </c>
      <c r="B4" t="s">
        <v>208</v>
      </c>
      <c r="C4" t="s">
        <v>5</v>
      </c>
    </row>
    <row r="5" spans="1:3">
      <c r="A5" t="s">
        <v>6</v>
      </c>
      <c r="B5" t="s">
        <v>209</v>
      </c>
      <c r="C5" t="s">
        <v>210</v>
      </c>
    </row>
    <row r="6" spans="1:3">
      <c r="A6" t="s">
        <v>6</v>
      </c>
      <c r="B6" t="s">
        <v>211</v>
      </c>
      <c r="C6" t="s">
        <v>210</v>
      </c>
    </row>
    <row r="7" spans="1:3">
      <c r="A7" t="s">
        <v>6</v>
      </c>
      <c r="B7" t="s">
        <v>212</v>
      </c>
      <c r="C7" t="s">
        <v>5</v>
      </c>
    </row>
    <row r="8" spans="1:3">
      <c r="A8" t="s">
        <v>11</v>
      </c>
      <c r="B8" t="s">
        <v>213</v>
      </c>
      <c r="C8" t="s">
        <v>5</v>
      </c>
    </row>
    <row r="9" spans="1:3">
      <c r="A9" t="s">
        <v>11</v>
      </c>
      <c r="B9" t="s">
        <v>207</v>
      </c>
      <c r="C9" t="s">
        <v>5</v>
      </c>
    </row>
    <row r="10" spans="1:3">
      <c r="A10" t="s">
        <v>11</v>
      </c>
      <c r="B10" t="s">
        <v>214</v>
      </c>
      <c r="C10" t="s">
        <v>5</v>
      </c>
    </row>
    <row r="11" spans="1:3">
      <c r="A11" t="s">
        <v>11</v>
      </c>
      <c r="B11" t="s">
        <v>215</v>
      </c>
      <c r="C11" t="s">
        <v>5</v>
      </c>
    </row>
    <row r="12" spans="1:3">
      <c r="A12" t="s">
        <v>11</v>
      </c>
      <c r="B12" t="s">
        <v>216</v>
      </c>
      <c r="C12" t="s">
        <v>5</v>
      </c>
    </row>
    <row r="13" spans="1:3">
      <c r="A13" t="s">
        <v>11</v>
      </c>
      <c r="B13" t="s">
        <v>217</v>
      </c>
      <c r="C13" t="s">
        <v>5</v>
      </c>
    </row>
    <row r="14" spans="1:3">
      <c r="A14" t="s">
        <v>11</v>
      </c>
      <c r="B14" t="s">
        <v>218</v>
      </c>
      <c r="C14" t="s">
        <v>5</v>
      </c>
    </row>
    <row r="15" spans="1:3">
      <c r="A15" t="s">
        <v>11</v>
      </c>
      <c r="B15" t="s">
        <v>219</v>
      </c>
      <c r="C15" t="s">
        <v>5</v>
      </c>
    </row>
    <row r="16" spans="1:3">
      <c r="A16" t="s">
        <v>11</v>
      </c>
      <c r="B16" t="s">
        <v>220</v>
      </c>
      <c r="C16" t="s">
        <v>5</v>
      </c>
    </row>
    <row r="17" spans="1:3">
      <c r="A17" t="s">
        <v>11</v>
      </c>
      <c r="B17" t="s">
        <v>221</v>
      </c>
      <c r="C17" t="s">
        <v>5</v>
      </c>
    </row>
    <row r="18" spans="1:3">
      <c r="A18" t="s">
        <v>11</v>
      </c>
      <c r="B18" t="s">
        <v>222</v>
      </c>
      <c r="C18" t="s">
        <v>5</v>
      </c>
    </row>
    <row r="19" spans="1:3">
      <c r="A19" t="s">
        <v>11</v>
      </c>
      <c r="B19" t="s">
        <v>223</v>
      </c>
      <c r="C19" t="s">
        <v>5</v>
      </c>
    </row>
    <row r="20" spans="1:3">
      <c r="A20" t="s">
        <v>11</v>
      </c>
      <c r="B20" t="s">
        <v>209</v>
      </c>
      <c r="C20" t="s">
        <v>5</v>
      </c>
    </row>
    <row r="21" spans="1:3">
      <c r="A21" t="s">
        <v>11</v>
      </c>
      <c r="B21" t="s">
        <v>224</v>
      </c>
      <c r="C21" t="s">
        <v>5</v>
      </c>
    </row>
    <row r="22" spans="1:3">
      <c r="A22" t="s">
        <v>11</v>
      </c>
      <c r="B22" t="s">
        <v>225</v>
      </c>
      <c r="C22" t="s">
        <v>5</v>
      </c>
    </row>
    <row r="23" spans="1:3">
      <c r="A23" t="s">
        <v>11</v>
      </c>
      <c r="B23" t="s">
        <v>226</v>
      </c>
      <c r="C23" t="s">
        <v>5</v>
      </c>
    </row>
    <row r="24" spans="1:3">
      <c r="A24" t="s">
        <v>11</v>
      </c>
      <c r="B24" t="s">
        <v>227</v>
      </c>
      <c r="C24" t="s">
        <v>5</v>
      </c>
    </row>
    <row r="25" spans="1:3">
      <c r="A25" t="s">
        <v>21</v>
      </c>
      <c r="B25" t="s">
        <v>207</v>
      </c>
      <c r="C25" t="s">
        <v>5</v>
      </c>
    </row>
    <row r="26" spans="1:3">
      <c r="A26" t="s">
        <v>21</v>
      </c>
      <c r="B26" t="s">
        <v>208</v>
      </c>
      <c r="C26" t="s">
        <v>5</v>
      </c>
    </row>
    <row r="27" spans="1:3">
      <c r="A27" t="s">
        <v>21</v>
      </c>
      <c r="B27" t="s">
        <v>217</v>
      </c>
      <c r="C27" t="s">
        <v>5</v>
      </c>
    </row>
    <row r="28" spans="1:3">
      <c r="A28" t="s">
        <v>21</v>
      </c>
      <c r="B28" t="s">
        <v>228</v>
      </c>
      <c r="C28" t="s">
        <v>5</v>
      </c>
    </row>
    <row r="29" spans="1:3">
      <c r="A29" t="s">
        <v>21</v>
      </c>
      <c r="B29" t="s">
        <v>219</v>
      </c>
      <c r="C29" t="s">
        <v>5</v>
      </c>
    </row>
    <row r="30" spans="1:3">
      <c r="A30" t="s">
        <v>21</v>
      </c>
      <c r="B30" t="s">
        <v>206</v>
      </c>
      <c r="C30" t="s">
        <v>5</v>
      </c>
    </row>
    <row r="31" spans="1:3">
      <c r="A31" t="s">
        <v>21</v>
      </c>
      <c r="B31" t="s">
        <v>220</v>
      </c>
      <c r="C31" t="s">
        <v>5</v>
      </c>
    </row>
    <row r="32" spans="1:3">
      <c r="A32" t="s">
        <v>21</v>
      </c>
      <c r="B32" t="s">
        <v>229</v>
      </c>
      <c r="C32" t="s">
        <v>5</v>
      </c>
    </row>
    <row r="33" spans="1:3">
      <c r="A33" t="s">
        <v>21</v>
      </c>
      <c r="B33" t="s">
        <v>221</v>
      </c>
      <c r="C33" t="s">
        <v>5</v>
      </c>
    </row>
    <row r="34" spans="1:3">
      <c r="A34" t="s">
        <v>21</v>
      </c>
      <c r="B34" t="s">
        <v>230</v>
      </c>
      <c r="C34" t="s">
        <v>5</v>
      </c>
    </row>
    <row r="35" spans="1:3">
      <c r="A35" t="s">
        <v>231</v>
      </c>
      <c r="C35" t="s">
        <v>5</v>
      </c>
    </row>
    <row r="36" spans="1:3">
      <c r="A36" t="s">
        <v>24</v>
      </c>
      <c r="B36" t="s">
        <v>213</v>
      </c>
      <c r="C36" t="s">
        <v>5</v>
      </c>
    </row>
    <row r="37" spans="1:3">
      <c r="A37" t="s">
        <v>24</v>
      </c>
      <c r="B37" t="s">
        <v>232</v>
      </c>
      <c r="C37" t="s">
        <v>5</v>
      </c>
    </row>
    <row r="38" spans="1:3">
      <c r="A38" t="s">
        <v>24</v>
      </c>
      <c r="B38" t="s">
        <v>207</v>
      </c>
      <c r="C38" t="s">
        <v>5</v>
      </c>
    </row>
    <row r="39" spans="1:3">
      <c r="A39" t="s">
        <v>24</v>
      </c>
      <c r="B39" t="s">
        <v>208</v>
      </c>
      <c r="C39" t="s">
        <v>5</v>
      </c>
    </row>
    <row r="40" spans="1:3">
      <c r="A40" t="s">
        <v>24</v>
      </c>
      <c r="B40" t="s">
        <v>214</v>
      </c>
      <c r="C40" t="s">
        <v>5</v>
      </c>
    </row>
    <row r="41" spans="1:3">
      <c r="A41" t="s">
        <v>24</v>
      </c>
      <c r="B41" t="s">
        <v>233</v>
      </c>
      <c r="C41" t="s">
        <v>5</v>
      </c>
    </row>
    <row r="42" spans="1:3">
      <c r="A42" t="s">
        <v>24</v>
      </c>
      <c r="B42" t="s">
        <v>215</v>
      </c>
      <c r="C42" t="s">
        <v>5</v>
      </c>
    </row>
    <row r="43" spans="1:3">
      <c r="A43" t="s">
        <v>24</v>
      </c>
      <c r="B43" t="s">
        <v>234</v>
      </c>
      <c r="C43" t="s">
        <v>5</v>
      </c>
    </row>
    <row r="44" spans="1:3">
      <c r="A44" t="s">
        <v>24</v>
      </c>
      <c r="B44" t="s">
        <v>216</v>
      </c>
      <c r="C44" t="s">
        <v>5</v>
      </c>
    </row>
    <row r="45" spans="1:3">
      <c r="A45" t="s">
        <v>24</v>
      </c>
      <c r="B45" t="s">
        <v>235</v>
      </c>
      <c r="C45" t="s">
        <v>5</v>
      </c>
    </row>
    <row r="46" spans="1:3">
      <c r="A46" t="s">
        <v>24</v>
      </c>
      <c r="B46" t="s">
        <v>217</v>
      </c>
      <c r="C46" t="s">
        <v>5</v>
      </c>
    </row>
    <row r="47" spans="1:3">
      <c r="A47" t="s">
        <v>24</v>
      </c>
      <c r="B47" t="s">
        <v>228</v>
      </c>
      <c r="C47" t="s">
        <v>5</v>
      </c>
    </row>
    <row r="48" spans="1:3">
      <c r="A48" t="s">
        <v>24</v>
      </c>
      <c r="B48" t="s">
        <v>218</v>
      </c>
      <c r="C48" t="s">
        <v>5</v>
      </c>
    </row>
    <row r="49" spans="1:3">
      <c r="A49" t="s">
        <v>24</v>
      </c>
      <c r="B49" t="s">
        <v>236</v>
      </c>
      <c r="C49" t="s">
        <v>5</v>
      </c>
    </row>
    <row r="50" spans="1:3">
      <c r="A50" t="s">
        <v>24</v>
      </c>
      <c r="B50" t="s">
        <v>219</v>
      </c>
      <c r="C50" t="s">
        <v>5</v>
      </c>
    </row>
    <row r="51" spans="1:3">
      <c r="A51" t="s">
        <v>24</v>
      </c>
      <c r="B51" t="s">
        <v>206</v>
      </c>
      <c r="C51" t="s">
        <v>5</v>
      </c>
    </row>
    <row r="52" spans="1:3">
      <c r="A52" t="s">
        <v>24</v>
      </c>
      <c r="B52" t="s">
        <v>220</v>
      </c>
      <c r="C52" t="s">
        <v>5</v>
      </c>
    </row>
    <row r="53" spans="1:3">
      <c r="A53" t="s">
        <v>24</v>
      </c>
      <c r="B53" t="s">
        <v>229</v>
      </c>
      <c r="C53" t="s">
        <v>5</v>
      </c>
    </row>
    <row r="54" spans="1:3">
      <c r="A54" t="s">
        <v>24</v>
      </c>
      <c r="B54" t="s">
        <v>221</v>
      </c>
      <c r="C54" t="s">
        <v>5</v>
      </c>
    </row>
    <row r="55" spans="1:3">
      <c r="A55" t="s">
        <v>24</v>
      </c>
      <c r="B55" t="s">
        <v>230</v>
      </c>
      <c r="C55" t="s">
        <v>5</v>
      </c>
    </row>
    <row r="56" spans="1:3">
      <c r="A56" t="s">
        <v>24</v>
      </c>
      <c r="B56" t="s">
        <v>222</v>
      </c>
      <c r="C56" t="s">
        <v>5</v>
      </c>
    </row>
    <row r="57" spans="1:3">
      <c r="A57" t="s">
        <v>24</v>
      </c>
      <c r="B57" t="s">
        <v>237</v>
      </c>
      <c r="C57" t="s">
        <v>5</v>
      </c>
    </row>
    <row r="58" spans="1:3">
      <c r="A58" t="s">
        <v>24</v>
      </c>
      <c r="B58" t="s">
        <v>223</v>
      </c>
      <c r="C58" t="s">
        <v>5</v>
      </c>
    </row>
    <row r="59" spans="1:3">
      <c r="A59" t="s">
        <v>24</v>
      </c>
      <c r="B59" t="s">
        <v>238</v>
      </c>
      <c r="C59" t="s">
        <v>5</v>
      </c>
    </row>
    <row r="60" spans="1:3">
      <c r="A60" t="s">
        <v>24</v>
      </c>
      <c r="B60" t="s">
        <v>209</v>
      </c>
      <c r="C60" t="s">
        <v>5</v>
      </c>
    </row>
    <row r="61" spans="1:3">
      <c r="A61" t="s">
        <v>24</v>
      </c>
      <c r="B61" t="s">
        <v>239</v>
      </c>
      <c r="C61" t="s">
        <v>5</v>
      </c>
    </row>
    <row r="62" spans="1:3">
      <c r="A62" t="s">
        <v>24</v>
      </c>
      <c r="B62" t="s">
        <v>211</v>
      </c>
      <c r="C62" t="s">
        <v>5</v>
      </c>
    </row>
    <row r="63" spans="1:3">
      <c r="A63" t="s">
        <v>24</v>
      </c>
      <c r="B63" t="s">
        <v>224</v>
      </c>
      <c r="C63" t="s">
        <v>5</v>
      </c>
    </row>
    <row r="64" spans="1:3">
      <c r="A64" t="s">
        <v>24</v>
      </c>
      <c r="B64" t="s">
        <v>240</v>
      </c>
      <c r="C64" t="s">
        <v>5</v>
      </c>
    </row>
    <row r="65" spans="1:3">
      <c r="A65" t="s">
        <v>24</v>
      </c>
      <c r="B65" t="s">
        <v>225</v>
      </c>
      <c r="C65" t="s">
        <v>5</v>
      </c>
    </row>
    <row r="66" spans="1:3">
      <c r="A66" t="s">
        <v>24</v>
      </c>
      <c r="B66" t="s">
        <v>241</v>
      </c>
      <c r="C66" t="s">
        <v>5</v>
      </c>
    </row>
    <row r="67" spans="1:3">
      <c r="A67" t="s">
        <v>24</v>
      </c>
      <c r="B67" t="s">
        <v>226</v>
      </c>
      <c r="C67" t="s">
        <v>5</v>
      </c>
    </row>
    <row r="68" spans="1:3">
      <c r="A68" t="s">
        <v>24</v>
      </c>
      <c r="B68" t="s">
        <v>242</v>
      </c>
      <c r="C68" t="s">
        <v>5</v>
      </c>
    </row>
    <row r="69" spans="1:3">
      <c r="A69" t="s">
        <v>24</v>
      </c>
      <c r="B69" t="s">
        <v>227</v>
      </c>
      <c r="C69" t="s">
        <v>5</v>
      </c>
    </row>
    <row r="70" spans="1:3">
      <c r="A70" t="s">
        <v>24</v>
      </c>
      <c r="B70" t="s">
        <v>243</v>
      </c>
      <c r="C70" t="s">
        <v>5</v>
      </c>
    </row>
    <row r="71" spans="1:3">
      <c r="A71" t="s">
        <v>34</v>
      </c>
      <c r="B71" t="s">
        <v>213</v>
      </c>
      <c r="C71" t="s">
        <v>5</v>
      </c>
    </row>
    <row r="72" spans="1:3">
      <c r="A72" t="s">
        <v>34</v>
      </c>
      <c r="B72" t="s">
        <v>207</v>
      </c>
      <c r="C72" t="s">
        <v>5</v>
      </c>
    </row>
    <row r="73" spans="1:3">
      <c r="A73" t="s">
        <v>34</v>
      </c>
      <c r="B73" t="s">
        <v>208</v>
      </c>
      <c r="C73" t="s">
        <v>5</v>
      </c>
    </row>
    <row r="74" spans="1:3">
      <c r="A74" t="s">
        <v>34</v>
      </c>
      <c r="B74" t="s">
        <v>214</v>
      </c>
      <c r="C74" t="s">
        <v>5</v>
      </c>
    </row>
    <row r="75" spans="1:3">
      <c r="A75" t="s">
        <v>34</v>
      </c>
      <c r="B75" t="s">
        <v>215</v>
      </c>
      <c r="C75" t="s">
        <v>5</v>
      </c>
    </row>
    <row r="76" spans="1:3">
      <c r="A76" t="s">
        <v>34</v>
      </c>
      <c r="B76" t="s">
        <v>216</v>
      </c>
      <c r="C76" t="s">
        <v>5</v>
      </c>
    </row>
    <row r="77" spans="1:3">
      <c r="A77" t="s">
        <v>34</v>
      </c>
      <c r="B77" t="s">
        <v>235</v>
      </c>
      <c r="C77" t="s">
        <v>5</v>
      </c>
    </row>
    <row r="78" spans="1:3">
      <c r="A78" t="s">
        <v>34</v>
      </c>
      <c r="B78" t="s">
        <v>217</v>
      </c>
      <c r="C78" t="s">
        <v>5</v>
      </c>
    </row>
    <row r="79" spans="1:3">
      <c r="A79" t="s">
        <v>34</v>
      </c>
      <c r="B79" t="s">
        <v>228</v>
      </c>
      <c r="C79" t="s">
        <v>5</v>
      </c>
    </row>
    <row r="80" spans="1:3">
      <c r="A80" t="s">
        <v>34</v>
      </c>
      <c r="B80" t="s">
        <v>218</v>
      </c>
      <c r="C80" t="s">
        <v>5</v>
      </c>
    </row>
    <row r="81" spans="1:3">
      <c r="A81" t="s">
        <v>34</v>
      </c>
      <c r="B81" t="s">
        <v>219</v>
      </c>
      <c r="C81" t="s">
        <v>5</v>
      </c>
    </row>
    <row r="82" spans="1:3">
      <c r="A82" t="s">
        <v>34</v>
      </c>
      <c r="B82" t="s">
        <v>206</v>
      </c>
      <c r="C82" t="s">
        <v>5</v>
      </c>
    </row>
    <row r="83" spans="1:3">
      <c r="A83" t="s">
        <v>34</v>
      </c>
      <c r="B83" t="s">
        <v>220</v>
      </c>
      <c r="C83" t="s">
        <v>5</v>
      </c>
    </row>
    <row r="84" spans="1:3">
      <c r="A84" t="s">
        <v>34</v>
      </c>
      <c r="B84" t="s">
        <v>229</v>
      </c>
      <c r="C84" t="s">
        <v>5</v>
      </c>
    </row>
    <row r="85" spans="1:3">
      <c r="A85" t="s">
        <v>34</v>
      </c>
      <c r="B85" t="s">
        <v>221</v>
      </c>
      <c r="C85" t="s">
        <v>5</v>
      </c>
    </row>
    <row r="86" spans="1:3">
      <c r="A86" t="s">
        <v>34</v>
      </c>
      <c r="B86" t="s">
        <v>230</v>
      </c>
      <c r="C86" t="s">
        <v>5</v>
      </c>
    </row>
    <row r="87" spans="1:3">
      <c r="A87" t="s">
        <v>34</v>
      </c>
      <c r="B87" t="s">
        <v>222</v>
      </c>
      <c r="C87" t="s">
        <v>5</v>
      </c>
    </row>
    <row r="88" spans="1:3">
      <c r="A88" t="s">
        <v>34</v>
      </c>
      <c r="B88" t="s">
        <v>237</v>
      </c>
      <c r="C88" t="s">
        <v>5</v>
      </c>
    </row>
    <row r="89" spans="1:3">
      <c r="A89" t="s">
        <v>34</v>
      </c>
      <c r="B89" t="s">
        <v>223</v>
      </c>
      <c r="C89" t="s">
        <v>5</v>
      </c>
    </row>
    <row r="90" spans="1:3">
      <c r="A90" t="s">
        <v>34</v>
      </c>
      <c r="B90" t="s">
        <v>209</v>
      </c>
      <c r="C90" t="s">
        <v>5</v>
      </c>
    </row>
    <row r="91" spans="1:3">
      <c r="A91" t="s">
        <v>34</v>
      </c>
      <c r="B91" t="s">
        <v>224</v>
      </c>
      <c r="C91" t="s">
        <v>5</v>
      </c>
    </row>
    <row r="92" spans="1:3">
      <c r="A92" t="s">
        <v>34</v>
      </c>
      <c r="B92" t="s">
        <v>225</v>
      </c>
      <c r="C92" t="s">
        <v>5</v>
      </c>
    </row>
    <row r="93" spans="1:3">
      <c r="A93" t="s">
        <v>34</v>
      </c>
      <c r="B93" t="s">
        <v>226</v>
      </c>
      <c r="C93" t="s">
        <v>5</v>
      </c>
    </row>
    <row r="94" spans="1:3">
      <c r="A94" t="s">
        <v>34</v>
      </c>
      <c r="B94" t="s">
        <v>227</v>
      </c>
      <c r="C94" t="s">
        <v>5</v>
      </c>
    </row>
    <row r="95" spans="1:3">
      <c r="A95" t="s">
        <v>34</v>
      </c>
      <c r="B95" t="s">
        <v>244</v>
      </c>
      <c r="C95" t="s">
        <v>245</v>
      </c>
    </row>
    <row r="96" spans="1:3">
      <c r="A96" t="s">
        <v>35</v>
      </c>
      <c r="B96" t="s">
        <v>244</v>
      </c>
      <c r="C96" t="s">
        <v>245</v>
      </c>
    </row>
    <row r="97" spans="1:3">
      <c r="A97" t="s">
        <v>246</v>
      </c>
      <c r="B97" t="s">
        <v>206</v>
      </c>
      <c r="C97" t="s">
        <v>5</v>
      </c>
    </row>
    <row r="98" spans="1:3">
      <c r="A98" t="s">
        <v>171</v>
      </c>
      <c r="B98" t="s">
        <v>247</v>
      </c>
      <c r="C98" t="s">
        <v>5</v>
      </c>
    </row>
    <row r="99" spans="1:3">
      <c r="A99" t="s">
        <v>38</v>
      </c>
      <c r="B99" t="s">
        <v>213</v>
      </c>
      <c r="C99" t="s">
        <v>5</v>
      </c>
    </row>
    <row r="100" spans="1:3">
      <c r="A100" t="s">
        <v>38</v>
      </c>
      <c r="B100" t="s">
        <v>232</v>
      </c>
      <c r="C100" t="s">
        <v>5</v>
      </c>
    </row>
    <row r="101" spans="1:3">
      <c r="A101" t="s">
        <v>38</v>
      </c>
      <c r="B101" t="s">
        <v>207</v>
      </c>
      <c r="C101" t="s">
        <v>5</v>
      </c>
    </row>
    <row r="102" spans="1:3">
      <c r="A102" t="s">
        <v>38</v>
      </c>
      <c r="B102" t="s">
        <v>208</v>
      </c>
      <c r="C102" t="s">
        <v>5</v>
      </c>
    </row>
    <row r="103" spans="1:3">
      <c r="A103" t="s">
        <v>38</v>
      </c>
      <c r="B103" t="s">
        <v>214</v>
      </c>
      <c r="C103" t="s">
        <v>5</v>
      </c>
    </row>
    <row r="104" spans="1:3">
      <c r="A104" t="s">
        <v>38</v>
      </c>
      <c r="B104" t="s">
        <v>233</v>
      </c>
      <c r="C104" t="s">
        <v>5</v>
      </c>
    </row>
    <row r="105" spans="1:3">
      <c r="A105" t="s">
        <v>38</v>
      </c>
      <c r="B105" t="s">
        <v>215</v>
      </c>
      <c r="C105" t="s">
        <v>5</v>
      </c>
    </row>
    <row r="106" spans="1:3">
      <c r="A106" t="s">
        <v>38</v>
      </c>
      <c r="B106" t="s">
        <v>234</v>
      </c>
      <c r="C106" t="s">
        <v>5</v>
      </c>
    </row>
    <row r="107" spans="1:3">
      <c r="A107" t="s">
        <v>38</v>
      </c>
      <c r="B107" t="s">
        <v>216</v>
      </c>
      <c r="C107" t="s">
        <v>5</v>
      </c>
    </row>
    <row r="108" spans="1:3">
      <c r="A108" t="s">
        <v>38</v>
      </c>
      <c r="B108" t="s">
        <v>235</v>
      </c>
      <c r="C108" t="s">
        <v>5</v>
      </c>
    </row>
    <row r="109" spans="1:3">
      <c r="A109" t="s">
        <v>38</v>
      </c>
      <c r="B109" t="s">
        <v>217</v>
      </c>
      <c r="C109" t="s">
        <v>5</v>
      </c>
    </row>
    <row r="110" spans="1:3">
      <c r="A110" t="s">
        <v>38</v>
      </c>
      <c r="B110" t="s">
        <v>248</v>
      </c>
      <c r="C110" t="s">
        <v>5</v>
      </c>
    </row>
    <row r="111" spans="1:3">
      <c r="A111" t="s">
        <v>38</v>
      </c>
      <c r="B111" t="s">
        <v>228</v>
      </c>
      <c r="C111" t="s">
        <v>5</v>
      </c>
    </row>
    <row r="112" spans="1:3">
      <c r="A112" t="s">
        <v>38</v>
      </c>
      <c r="B112" t="s">
        <v>218</v>
      </c>
      <c r="C112" t="s">
        <v>5</v>
      </c>
    </row>
    <row r="113" spans="1:3">
      <c r="A113" t="s">
        <v>38</v>
      </c>
      <c r="B113" t="s">
        <v>236</v>
      </c>
      <c r="C113" t="s">
        <v>5</v>
      </c>
    </row>
    <row r="114" spans="1:3">
      <c r="A114" t="s">
        <v>38</v>
      </c>
      <c r="B114" t="s">
        <v>219</v>
      </c>
      <c r="C114" t="s">
        <v>5</v>
      </c>
    </row>
    <row r="115" spans="1:3">
      <c r="A115" t="s">
        <v>38</v>
      </c>
      <c r="B115" t="s">
        <v>206</v>
      </c>
      <c r="C115" t="s">
        <v>5</v>
      </c>
    </row>
    <row r="116" spans="1:3">
      <c r="A116" t="s">
        <v>38</v>
      </c>
      <c r="B116" t="s">
        <v>220</v>
      </c>
      <c r="C116" t="s">
        <v>5</v>
      </c>
    </row>
    <row r="117" spans="1:3">
      <c r="A117" t="s">
        <v>38</v>
      </c>
      <c r="B117" t="s">
        <v>229</v>
      </c>
      <c r="C117" t="s">
        <v>5</v>
      </c>
    </row>
    <row r="118" spans="1:3">
      <c r="A118" t="s">
        <v>38</v>
      </c>
      <c r="B118" t="s">
        <v>221</v>
      </c>
      <c r="C118" t="s">
        <v>5</v>
      </c>
    </row>
    <row r="119" spans="1:3">
      <c r="A119" t="s">
        <v>38</v>
      </c>
      <c r="B119" t="s">
        <v>230</v>
      </c>
      <c r="C119" t="s">
        <v>5</v>
      </c>
    </row>
    <row r="120" spans="1:3">
      <c r="A120" t="s">
        <v>38</v>
      </c>
      <c r="B120" t="s">
        <v>222</v>
      </c>
      <c r="C120" t="s">
        <v>5</v>
      </c>
    </row>
    <row r="121" spans="1:3">
      <c r="A121" t="s">
        <v>38</v>
      </c>
      <c r="B121" t="s">
        <v>237</v>
      </c>
      <c r="C121" t="s">
        <v>5</v>
      </c>
    </row>
    <row r="122" spans="1:3">
      <c r="A122" t="s">
        <v>38</v>
      </c>
      <c r="B122" t="s">
        <v>223</v>
      </c>
      <c r="C122" t="s">
        <v>5</v>
      </c>
    </row>
    <row r="123" spans="1:3">
      <c r="A123" t="s">
        <v>38</v>
      </c>
      <c r="B123" t="s">
        <v>238</v>
      </c>
      <c r="C123" t="s">
        <v>5</v>
      </c>
    </row>
    <row r="124" spans="1:3">
      <c r="A124" t="s">
        <v>38</v>
      </c>
      <c r="B124" t="s">
        <v>209</v>
      </c>
      <c r="C124" t="s">
        <v>5</v>
      </c>
    </row>
    <row r="125" spans="1:3">
      <c r="A125" t="s">
        <v>38</v>
      </c>
      <c r="B125" t="s">
        <v>239</v>
      </c>
      <c r="C125" t="s">
        <v>5</v>
      </c>
    </row>
    <row r="126" spans="1:3">
      <c r="A126" t="s">
        <v>38</v>
      </c>
      <c r="B126" t="s">
        <v>211</v>
      </c>
      <c r="C126" t="s">
        <v>5</v>
      </c>
    </row>
    <row r="127" spans="1:3">
      <c r="A127" t="s">
        <v>38</v>
      </c>
      <c r="B127" t="s">
        <v>224</v>
      </c>
      <c r="C127" t="s">
        <v>5</v>
      </c>
    </row>
    <row r="128" spans="1:3">
      <c r="A128" t="s">
        <v>38</v>
      </c>
      <c r="B128" t="s">
        <v>240</v>
      </c>
      <c r="C128" t="s">
        <v>5</v>
      </c>
    </row>
    <row r="129" spans="1:3">
      <c r="A129" t="s">
        <v>38</v>
      </c>
      <c r="B129" t="s">
        <v>225</v>
      </c>
      <c r="C129" t="s">
        <v>5</v>
      </c>
    </row>
    <row r="130" spans="1:3">
      <c r="A130" t="s">
        <v>38</v>
      </c>
      <c r="B130" t="s">
        <v>241</v>
      </c>
      <c r="C130" t="s">
        <v>5</v>
      </c>
    </row>
    <row r="131" spans="1:3">
      <c r="A131" t="s">
        <v>38</v>
      </c>
      <c r="B131" t="s">
        <v>226</v>
      </c>
      <c r="C131" t="s">
        <v>5</v>
      </c>
    </row>
    <row r="132" spans="1:3">
      <c r="A132" t="s">
        <v>38</v>
      </c>
      <c r="B132" t="s">
        <v>242</v>
      </c>
      <c r="C132" t="s">
        <v>5</v>
      </c>
    </row>
    <row r="133" spans="1:3">
      <c r="A133" t="s">
        <v>38</v>
      </c>
      <c r="B133" t="s">
        <v>227</v>
      </c>
      <c r="C133" t="s">
        <v>5</v>
      </c>
    </row>
    <row r="134" spans="1:3">
      <c r="A134" t="s">
        <v>38</v>
      </c>
      <c r="B134" t="s">
        <v>243</v>
      </c>
      <c r="C134" t="s">
        <v>5</v>
      </c>
    </row>
    <row r="135" spans="1:3">
      <c r="A135" t="s">
        <v>39</v>
      </c>
      <c r="B135" t="s">
        <v>213</v>
      </c>
      <c r="C135" t="s">
        <v>5</v>
      </c>
    </row>
    <row r="136" spans="1:3">
      <c r="A136" t="s">
        <v>39</v>
      </c>
      <c r="B136" t="s">
        <v>232</v>
      </c>
      <c r="C136" t="s">
        <v>5</v>
      </c>
    </row>
    <row r="137" spans="1:3">
      <c r="A137" t="s">
        <v>39</v>
      </c>
      <c r="B137" t="s">
        <v>207</v>
      </c>
      <c r="C137" t="s">
        <v>5</v>
      </c>
    </row>
    <row r="138" spans="1:3">
      <c r="A138" t="s">
        <v>39</v>
      </c>
      <c r="B138" t="s">
        <v>208</v>
      </c>
      <c r="C138" t="s">
        <v>5</v>
      </c>
    </row>
    <row r="139" spans="1:3">
      <c r="A139" t="s">
        <v>39</v>
      </c>
      <c r="B139" t="s">
        <v>214</v>
      </c>
      <c r="C139" t="s">
        <v>5</v>
      </c>
    </row>
    <row r="140" spans="1:3">
      <c r="A140" t="s">
        <v>39</v>
      </c>
      <c r="B140" t="s">
        <v>233</v>
      </c>
      <c r="C140" t="s">
        <v>5</v>
      </c>
    </row>
    <row r="141" spans="1:3">
      <c r="A141" t="s">
        <v>39</v>
      </c>
      <c r="B141" t="s">
        <v>215</v>
      </c>
      <c r="C141" t="s">
        <v>5</v>
      </c>
    </row>
    <row r="142" spans="1:3">
      <c r="A142" t="s">
        <v>39</v>
      </c>
      <c r="B142" t="s">
        <v>234</v>
      </c>
      <c r="C142" t="s">
        <v>5</v>
      </c>
    </row>
    <row r="143" spans="1:3">
      <c r="A143" t="s">
        <v>39</v>
      </c>
      <c r="B143" t="s">
        <v>216</v>
      </c>
      <c r="C143" t="s">
        <v>5</v>
      </c>
    </row>
    <row r="144" spans="1:3">
      <c r="A144" t="s">
        <v>39</v>
      </c>
      <c r="B144" t="s">
        <v>235</v>
      </c>
      <c r="C144" t="s">
        <v>5</v>
      </c>
    </row>
    <row r="145" spans="1:3">
      <c r="A145" t="s">
        <v>39</v>
      </c>
      <c r="B145" t="s">
        <v>217</v>
      </c>
      <c r="C145" t="s">
        <v>5</v>
      </c>
    </row>
    <row r="146" spans="1:3">
      <c r="A146" t="s">
        <v>39</v>
      </c>
      <c r="B146" t="s">
        <v>228</v>
      </c>
      <c r="C146" t="s">
        <v>5</v>
      </c>
    </row>
    <row r="147" spans="1:3">
      <c r="A147" t="s">
        <v>39</v>
      </c>
      <c r="B147" t="s">
        <v>218</v>
      </c>
      <c r="C147" t="s">
        <v>5</v>
      </c>
    </row>
    <row r="148" spans="1:3">
      <c r="A148" t="s">
        <v>39</v>
      </c>
      <c r="B148" t="s">
        <v>236</v>
      </c>
      <c r="C148" t="s">
        <v>5</v>
      </c>
    </row>
    <row r="149" spans="1:3">
      <c r="A149" t="s">
        <v>39</v>
      </c>
      <c r="B149" t="s">
        <v>219</v>
      </c>
      <c r="C149" t="s">
        <v>5</v>
      </c>
    </row>
    <row r="150" spans="1:3">
      <c r="A150" t="s">
        <v>39</v>
      </c>
      <c r="B150" t="s">
        <v>206</v>
      </c>
      <c r="C150" t="s">
        <v>5</v>
      </c>
    </row>
    <row r="151" spans="1:3">
      <c r="A151" t="s">
        <v>39</v>
      </c>
      <c r="B151" t="s">
        <v>220</v>
      </c>
      <c r="C151" t="s">
        <v>5</v>
      </c>
    </row>
    <row r="152" spans="1:3">
      <c r="A152" t="s">
        <v>39</v>
      </c>
      <c r="B152" t="s">
        <v>229</v>
      </c>
      <c r="C152" t="s">
        <v>5</v>
      </c>
    </row>
    <row r="153" spans="1:3">
      <c r="A153" t="s">
        <v>39</v>
      </c>
      <c r="B153" t="s">
        <v>221</v>
      </c>
      <c r="C153" t="s">
        <v>5</v>
      </c>
    </row>
    <row r="154" spans="1:3">
      <c r="A154" t="s">
        <v>39</v>
      </c>
      <c r="B154" t="s">
        <v>230</v>
      </c>
      <c r="C154" t="s">
        <v>5</v>
      </c>
    </row>
    <row r="155" spans="1:3">
      <c r="A155" t="s">
        <v>39</v>
      </c>
      <c r="B155" t="s">
        <v>222</v>
      </c>
      <c r="C155" t="s">
        <v>5</v>
      </c>
    </row>
    <row r="156" spans="1:3">
      <c r="A156" t="s">
        <v>39</v>
      </c>
      <c r="B156" t="s">
        <v>237</v>
      </c>
      <c r="C156" t="s">
        <v>5</v>
      </c>
    </row>
    <row r="157" spans="1:3">
      <c r="A157" t="s">
        <v>39</v>
      </c>
      <c r="B157" t="s">
        <v>223</v>
      </c>
      <c r="C157" t="s">
        <v>5</v>
      </c>
    </row>
    <row r="158" spans="1:3">
      <c r="A158" t="s">
        <v>39</v>
      </c>
      <c r="B158" t="s">
        <v>238</v>
      </c>
      <c r="C158" t="s">
        <v>5</v>
      </c>
    </row>
    <row r="159" spans="1:3">
      <c r="A159" t="s">
        <v>39</v>
      </c>
      <c r="B159" t="s">
        <v>209</v>
      </c>
      <c r="C159" t="s">
        <v>5</v>
      </c>
    </row>
    <row r="160" spans="1:3">
      <c r="A160" t="s">
        <v>39</v>
      </c>
      <c r="B160" t="s">
        <v>211</v>
      </c>
      <c r="C160" t="s">
        <v>5</v>
      </c>
    </row>
    <row r="161" spans="1:3">
      <c r="A161" t="s">
        <v>39</v>
      </c>
      <c r="B161" t="s">
        <v>224</v>
      </c>
      <c r="C161" t="s">
        <v>5</v>
      </c>
    </row>
    <row r="162" spans="1:3">
      <c r="A162" t="s">
        <v>39</v>
      </c>
      <c r="B162" t="s">
        <v>240</v>
      </c>
      <c r="C162" t="s">
        <v>5</v>
      </c>
    </row>
    <row r="163" spans="1:3">
      <c r="A163" t="s">
        <v>39</v>
      </c>
      <c r="B163" t="s">
        <v>225</v>
      </c>
      <c r="C163" t="s">
        <v>5</v>
      </c>
    </row>
    <row r="164" spans="1:3">
      <c r="A164" t="s">
        <v>39</v>
      </c>
      <c r="B164" t="s">
        <v>241</v>
      </c>
      <c r="C164" t="s">
        <v>5</v>
      </c>
    </row>
    <row r="165" spans="1:3">
      <c r="A165" t="s">
        <v>39</v>
      </c>
      <c r="B165" t="s">
        <v>226</v>
      </c>
      <c r="C165" t="s">
        <v>5</v>
      </c>
    </row>
    <row r="166" spans="1:3">
      <c r="A166" t="s">
        <v>39</v>
      </c>
      <c r="B166" t="s">
        <v>242</v>
      </c>
      <c r="C166" t="s">
        <v>5</v>
      </c>
    </row>
    <row r="167" spans="1:3">
      <c r="A167" t="s">
        <v>39</v>
      </c>
      <c r="B167" t="s">
        <v>227</v>
      </c>
      <c r="C167" t="s">
        <v>5</v>
      </c>
    </row>
    <row r="168" spans="1:3">
      <c r="A168" t="s">
        <v>39</v>
      </c>
      <c r="B168" t="s">
        <v>243</v>
      </c>
      <c r="C168" t="s">
        <v>5</v>
      </c>
    </row>
    <row r="169" spans="1:3">
      <c r="A169" t="s">
        <v>40</v>
      </c>
      <c r="B169" t="s">
        <v>213</v>
      </c>
      <c r="C169" t="s">
        <v>5</v>
      </c>
    </row>
    <row r="170" spans="1:3">
      <c r="A170" t="s">
        <v>40</v>
      </c>
      <c r="B170" t="s">
        <v>207</v>
      </c>
      <c r="C170" t="s">
        <v>5</v>
      </c>
    </row>
    <row r="171" spans="1:3">
      <c r="A171" t="s">
        <v>40</v>
      </c>
      <c r="B171" t="s">
        <v>214</v>
      </c>
      <c r="C171" t="s">
        <v>5</v>
      </c>
    </row>
    <row r="172" spans="1:3">
      <c r="A172" t="s">
        <v>40</v>
      </c>
      <c r="B172" t="s">
        <v>215</v>
      </c>
      <c r="C172" t="s">
        <v>5</v>
      </c>
    </row>
    <row r="173" spans="1:3">
      <c r="A173" t="s">
        <v>40</v>
      </c>
      <c r="B173" t="s">
        <v>216</v>
      </c>
      <c r="C173" t="s">
        <v>5</v>
      </c>
    </row>
    <row r="174" spans="1:3">
      <c r="A174" t="s">
        <v>40</v>
      </c>
      <c r="B174" t="s">
        <v>217</v>
      </c>
      <c r="C174" t="s">
        <v>5</v>
      </c>
    </row>
    <row r="175" spans="1:3">
      <c r="A175" t="s">
        <v>40</v>
      </c>
      <c r="B175" t="s">
        <v>218</v>
      </c>
      <c r="C175" t="s">
        <v>5</v>
      </c>
    </row>
    <row r="176" spans="1:3">
      <c r="A176" t="s">
        <v>40</v>
      </c>
      <c r="B176" t="s">
        <v>219</v>
      </c>
      <c r="C176" t="s">
        <v>5</v>
      </c>
    </row>
    <row r="177" spans="1:3">
      <c r="A177" t="s">
        <v>40</v>
      </c>
      <c r="B177" t="s">
        <v>220</v>
      </c>
      <c r="C177" t="s">
        <v>5</v>
      </c>
    </row>
    <row r="178" spans="1:3">
      <c r="A178" t="s">
        <v>40</v>
      </c>
      <c r="B178" t="s">
        <v>221</v>
      </c>
      <c r="C178" t="s">
        <v>5</v>
      </c>
    </row>
    <row r="179" spans="1:3">
      <c r="A179" t="s">
        <v>40</v>
      </c>
      <c r="B179" t="s">
        <v>222</v>
      </c>
      <c r="C179" t="s">
        <v>5</v>
      </c>
    </row>
    <row r="180" spans="1:3">
      <c r="A180" t="s">
        <v>40</v>
      </c>
      <c r="B180" t="s">
        <v>223</v>
      </c>
      <c r="C180" t="s">
        <v>5</v>
      </c>
    </row>
    <row r="181" spans="1:3">
      <c r="A181" t="s">
        <v>40</v>
      </c>
      <c r="B181" t="s">
        <v>209</v>
      </c>
      <c r="C181" t="s">
        <v>5</v>
      </c>
    </row>
    <row r="182" spans="1:3">
      <c r="A182" t="s">
        <v>40</v>
      </c>
      <c r="B182" t="s">
        <v>224</v>
      </c>
      <c r="C182" t="s">
        <v>5</v>
      </c>
    </row>
    <row r="183" spans="1:3">
      <c r="A183" t="s">
        <v>40</v>
      </c>
      <c r="B183" t="s">
        <v>225</v>
      </c>
      <c r="C183" t="s">
        <v>5</v>
      </c>
    </row>
    <row r="184" spans="1:3">
      <c r="A184" t="s">
        <v>40</v>
      </c>
      <c r="B184" t="s">
        <v>226</v>
      </c>
      <c r="C184" t="s">
        <v>5</v>
      </c>
    </row>
    <row r="185" spans="1:3">
      <c r="A185" t="s">
        <v>40</v>
      </c>
      <c r="B185" t="s">
        <v>227</v>
      </c>
      <c r="C185" t="s">
        <v>5</v>
      </c>
    </row>
    <row r="186" spans="1:3">
      <c r="A186" t="s">
        <v>41</v>
      </c>
      <c r="B186" t="s">
        <v>213</v>
      </c>
      <c r="C186" t="s">
        <v>5</v>
      </c>
    </row>
    <row r="187" spans="1:3">
      <c r="A187" t="s">
        <v>41</v>
      </c>
      <c r="B187" t="s">
        <v>232</v>
      </c>
      <c r="C187" t="s">
        <v>5</v>
      </c>
    </row>
    <row r="188" spans="1:3">
      <c r="A188" t="s">
        <v>41</v>
      </c>
      <c r="B188" t="s">
        <v>207</v>
      </c>
      <c r="C188" t="s">
        <v>5</v>
      </c>
    </row>
    <row r="189" spans="1:3">
      <c r="A189" t="s">
        <v>41</v>
      </c>
      <c r="B189" t="s">
        <v>208</v>
      </c>
      <c r="C189" t="s">
        <v>5</v>
      </c>
    </row>
    <row r="190" spans="1:3">
      <c r="A190" t="s">
        <v>41</v>
      </c>
      <c r="B190" t="s">
        <v>214</v>
      </c>
      <c r="C190" t="s">
        <v>5</v>
      </c>
    </row>
    <row r="191" spans="1:3">
      <c r="A191" t="s">
        <v>41</v>
      </c>
      <c r="B191" t="s">
        <v>233</v>
      </c>
      <c r="C191" t="s">
        <v>5</v>
      </c>
    </row>
    <row r="192" spans="1:3">
      <c r="A192" t="s">
        <v>41</v>
      </c>
      <c r="B192" t="s">
        <v>215</v>
      </c>
      <c r="C192" t="s">
        <v>5</v>
      </c>
    </row>
    <row r="193" spans="1:3">
      <c r="A193" t="s">
        <v>41</v>
      </c>
      <c r="B193" t="s">
        <v>234</v>
      </c>
      <c r="C193" t="s">
        <v>5</v>
      </c>
    </row>
    <row r="194" spans="1:3">
      <c r="A194" t="s">
        <v>41</v>
      </c>
      <c r="B194" t="s">
        <v>216</v>
      </c>
      <c r="C194" t="s">
        <v>5</v>
      </c>
    </row>
    <row r="195" spans="1:3">
      <c r="A195" t="s">
        <v>41</v>
      </c>
      <c r="B195" t="s">
        <v>235</v>
      </c>
      <c r="C195" t="s">
        <v>5</v>
      </c>
    </row>
    <row r="196" spans="1:3">
      <c r="A196" t="s">
        <v>41</v>
      </c>
      <c r="B196" t="s">
        <v>217</v>
      </c>
      <c r="C196" t="s">
        <v>5</v>
      </c>
    </row>
    <row r="197" spans="1:3">
      <c r="A197" t="s">
        <v>41</v>
      </c>
      <c r="B197" t="s">
        <v>228</v>
      </c>
      <c r="C197" t="s">
        <v>5</v>
      </c>
    </row>
    <row r="198" spans="1:3">
      <c r="A198" t="s">
        <v>41</v>
      </c>
      <c r="B198" t="s">
        <v>218</v>
      </c>
      <c r="C198" t="s">
        <v>5</v>
      </c>
    </row>
    <row r="199" spans="1:3">
      <c r="A199" t="s">
        <v>41</v>
      </c>
      <c r="B199" t="s">
        <v>236</v>
      </c>
      <c r="C199" t="s">
        <v>5</v>
      </c>
    </row>
    <row r="200" spans="1:3">
      <c r="A200" t="s">
        <v>41</v>
      </c>
      <c r="B200" t="s">
        <v>219</v>
      </c>
      <c r="C200" t="s">
        <v>5</v>
      </c>
    </row>
    <row r="201" spans="1:3">
      <c r="A201" t="s">
        <v>41</v>
      </c>
      <c r="B201" t="s">
        <v>206</v>
      </c>
      <c r="C201" t="s">
        <v>5</v>
      </c>
    </row>
    <row r="202" spans="1:3">
      <c r="A202" t="s">
        <v>41</v>
      </c>
      <c r="B202" t="s">
        <v>220</v>
      </c>
      <c r="C202" t="s">
        <v>5</v>
      </c>
    </row>
    <row r="203" spans="1:3">
      <c r="A203" t="s">
        <v>41</v>
      </c>
      <c r="B203" t="s">
        <v>229</v>
      </c>
      <c r="C203" t="s">
        <v>5</v>
      </c>
    </row>
    <row r="204" spans="1:3">
      <c r="A204" t="s">
        <v>41</v>
      </c>
      <c r="B204" t="s">
        <v>221</v>
      </c>
      <c r="C204" t="s">
        <v>5</v>
      </c>
    </row>
    <row r="205" spans="1:3">
      <c r="A205" t="s">
        <v>41</v>
      </c>
      <c r="B205" t="s">
        <v>230</v>
      </c>
      <c r="C205" t="s">
        <v>5</v>
      </c>
    </row>
    <row r="206" spans="1:3">
      <c r="A206" t="s">
        <v>41</v>
      </c>
      <c r="B206" t="s">
        <v>222</v>
      </c>
      <c r="C206" t="s">
        <v>5</v>
      </c>
    </row>
    <row r="207" spans="1:3">
      <c r="A207" t="s">
        <v>41</v>
      </c>
      <c r="B207" t="s">
        <v>237</v>
      </c>
      <c r="C207" t="s">
        <v>5</v>
      </c>
    </row>
    <row r="208" spans="1:3">
      <c r="A208" t="s">
        <v>41</v>
      </c>
      <c r="B208" t="s">
        <v>223</v>
      </c>
      <c r="C208" t="s">
        <v>5</v>
      </c>
    </row>
    <row r="209" spans="1:3">
      <c r="A209" t="s">
        <v>41</v>
      </c>
      <c r="B209" t="s">
        <v>238</v>
      </c>
      <c r="C209" t="s">
        <v>5</v>
      </c>
    </row>
    <row r="210" spans="1:3">
      <c r="A210" t="s">
        <v>41</v>
      </c>
      <c r="B210" t="s">
        <v>209</v>
      </c>
      <c r="C210" t="s">
        <v>5</v>
      </c>
    </row>
    <row r="211" spans="1:3">
      <c r="A211" t="s">
        <v>41</v>
      </c>
      <c r="B211" t="s">
        <v>211</v>
      </c>
      <c r="C211" t="s">
        <v>5</v>
      </c>
    </row>
    <row r="212" spans="1:3">
      <c r="A212" t="s">
        <v>41</v>
      </c>
      <c r="B212" t="s">
        <v>224</v>
      </c>
      <c r="C212" t="s">
        <v>5</v>
      </c>
    </row>
    <row r="213" spans="1:3">
      <c r="A213" t="s">
        <v>41</v>
      </c>
      <c r="B213" t="s">
        <v>240</v>
      </c>
      <c r="C213" t="s">
        <v>5</v>
      </c>
    </row>
    <row r="214" spans="1:3">
      <c r="A214" t="s">
        <v>41</v>
      </c>
      <c r="B214" t="s">
        <v>225</v>
      </c>
      <c r="C214" t="s">
        <v>5</v>
      </c>
    </row>
    <row r="215" spans="1:3">
      <c r="A215" t="s">
        <v>41</v>
      </c>
      <c r="B215" t="s">
        <v>241</v>
      </c>
      <c r="C215" t="s">
        <v>5</v>
      </c>
    </row>
    <row r="216" spans="1:3">
      <c r="A216" t="s">
        <v>41</v>
      </c>
      <c r="B216" t="s">
        <v>226</v>
      </c>
      <c r="C216" t="s">
        <v>5</v>
      </c>
    </row>
    <row r="217" spans="1:3">
      <c r="A217" t="s">
        <v>41</v>
      </c>
      <c r="B217" t="s">
        <v>242</v>
      </c>
      <c r="C217" t="s">
        <v>5</v>
      </c>
    </row>
    <row r="218" spans="1:3">
      <c r="A218" t="s">
        <v>41</v>
      </c>
      <c r="B218" t="s">
        <v>227</v>
      </c>
      <c r="C218" t="s">
        <v>5</v>
      </c>
    </row>
    <row r="219" spans="1:3">
      <c r="A219" t="s">
        <v>41</v>
      </c>
      <c r="B219" t="s">
        <v>243</v>
      </c>
      <c r="C219" t="s">
        <v>5</v>
      </c>
    </row>
    <row r="220" spans="1:3">
      <c r="A220" t="s">
        <v>41</v>
      </c>
      <c r="B220" t="s">
        <v>212</v>
      </c>
      <c r="C220" t="s">
        <v>5</v>
      </c>
    </row>
    <row r="221" spans="1:3">
      <c r="A221" t="s">
        <v>42</v>
      </c>
      <c r="B221" t="s">
        <v>213</v>
      </c>
      <c r="C221" t="s">
        <v>5</v>
      </c>
    </row>
    <row r="222" spans="1:3">
      <c r="A222" t="s">
        <v>42</v>
      </c>
      <c r="B222" t="s">
        <v>207</v>
      </c>
      <c r="C222" t="s">
        <v>5</v>
      </c>
    </row>
    <row r="223" spans="1:3">
      <c r="A223" t="s">
        <v>42</v>
      </c>
      <c r="B223" t="s">
        <v>214</v>
      </c>
      <c r="C223" t="s">
        <v>5</v>
      </c>
    </row>
    <row r="224" spans="1:3">
      <c r="A224" t="s">
        <v>42</v>
      </c>
      <c r="B224" t="s">
        <v>215</v>
      </c>
      <c r="C224" t="s">
        <v>5</v>
      </c>
    </row>
    <row r="225" spans="1:3">
      <c r="A225" t="s">
        <v>42</v>
      </c>
      <c r="B225" t="s">
        <v>216</v>
      </c>
      <c r="C225" t="s">
        <v>5</v>
      </c>
    </row>
    <row r="226" spans="1:3">
      <c r="A226" t="s">
        <v>42</v>
      </c>
      <c r="B226" t="s">
        <v>217</v>
      </c>
      <c r="C226" t="s">
        <v>5</v>
      </c>
    </row>
    <row r="227" spans="1:3">
      <c r="A227" t="s">
        <v>42</v>
      </c>
      <c r="B227" t="s">
        <v>218</v>
      </c>
      <c r="C227" t="s">
        <v>5</v>
      </c>
    </row>
    <row r="228" spans="1:3">
      <c r="A228" t="s">
        <v>42</v>
      </c>
      <c r="B228" t="s">
        <v>219</v>
      </c>
      <c r="C228" t="s">
        <v>5</v>
      </c>
    </row>
    <row r="229" spans="1:3">
      <c r="A229" t="s">
        <v>42</v>
      </c>
      <c r="B229" t="s">
        <v>220</v>
      </c>
      <c r="C229" t="s">
        <v>5</v>
      </c>
    </row>
    <row r="230" spans="1:3">
      <c r="A230" t="s">
        <v>42</v>
      </c>
      <c r="B230" t="s">
        <v>221</v>
      </c>
      <c r="C230" t="s">
        <v>5</v>
      </c>
    </row>
    <row r="231" spans="1:3">
      <c r="A231" t="s">
        <v>42</v>
      </c>
      <c r="B231" t="s">
        <v>222</v>
      </c>
      <c r="C231" t="s">
        <v>5</v>
      </c>
    </row>
    <row r="232" spans="1:3">
      <c r="A232" t="s">
        <v>42</v>
      </c>
      <c r="B232" t="s">
        <v>223</v>
      </c>
      <c r="C232" t="s">
        <v>5</v>
      </c>
    </row>
    <row r="233" spans="1:3">
      <c r="A233" t="s">
        <v>42</v>
      </c>
      <c r="B233" t="s">
        <v>209</v>
      </c>
      <c r="C233" t="s">
        <v>5</v>
      </c>
    </row>
    <row r="234" spans="1:3">
      <c r="A234" t="s">
        <v>42</v>
      </c>
      <c r="B234" t="s">
        <v>224</v>
      </c>
      <c r="C234" t="s">
        <v>5</v>
      </c>
    </row>
    <row r="235" spans="1:3">
      <c r="A235" t="s">
        <v>42</v>
      </c>
      <c r="B235" t="s">
        <v>225</v>
      </c>
      <c r="C235" t="s">
        <v>5</v>
      </c>
    </row>
    <row r="236" spans="1:3">
      <c r="A236" t="s">
        <v>42</v>
      </c>
      <c r="B236" t="s">
        <v>226</v>
      </c>
      <c r="C236" t="s">
        <v>5</v>
      </c>
    </row>
    <row r="237" spans="1:3">
      <c r="A237" t="s">
        <v>42</v>
      </c>
      <c r="B237" t="s">
        <v>227</v>
      </c>
      <c r="C237" t="s">
        <v>5</v>
      </c>
    </row>
    <row r="238" spans="1:3">
      <c r="A238" t="s">
        <v>43</v>
      </c>
      <c r="B238" t="s">
        <v>213</v>
      </c>
      <c r="C238" t="s">
        <v>5</v>
      </c>
    </row>
    <row r="239" spans="1:3">
      <c r="A239" t="s">
        <v>43</v>
      </c>
      <c r="B239" t="s">
        <v>249</v>
      </c>
      <c r="C239" t="s">
        <v>5</v>
      </c>
    </row>
    <row r="240" spans="1:3">
      <c r="A240" t="s">
        <v>43</v>
      </c>
      <c r="B240" t="s">
        <v>232</v>
      </c>
      <c r="C240" t="s">
        <v>5</v>
      </c>
    </row>
    <row r="241" spans="1:3">
      <c r="A241" t="s">
        <v>43</v>
      </c>
      <c r="B241" t="s">
        <v>207</v>
      </c>
      <c r="C241" t="s">
        <v>5</v>
      </c>
    </row>
    <row r="242" spans="1:3">
      <c r="A242" t="s">
        <v>43</v>
      </c>
      <c r="B242" t="s">
        <v>250</v>
      </c>
      <c r="C242" t="s">
        <v>5</v>
      </c>
    </row>
    <row r="243" spans="1:3">
      <c r="A243" t="s">
        <v>43</v>
      </c>
      <c r="B243" t="s">
        <v>208</v>
      </c>
      <c r="C243" t="s">
        <v>5</v>
      </c>
    </row>
    <row r="244" spans="1:3">
      <c r="A244" t="s">
        <v>43</v>
      </c>
      <c r="B244" t="s">
        <v>214</v>
      </c>
      <c r="C244" t="s">
        <v>5</v>
      </c>
    </row>
    <row r="245" spans="1:3">
      <c r="A245" t="s">
        <v>43</v>
      </c>
      <c r="B245" t="s">
        <v>251</v>
      </c>
      <c r="C245" t="s">
        <v>5</v>
      </c>
    </row>
    <row r="246" spans="1:3">
      <c r="A246" t="s">
        <v>43</v>
      </c>
      <c r="B246" t="s">
        <v>233</v>
      </c>
      <c r="C246" t="s">
        <v>5</v>
      </c>
    </row>
    <row r="247" spans="1:3">
      <c r="A247" t="s">
        <v>43</v>
      </c>
      <c r="B247" t="s">
        <v>215</v>
      </c>
      <c r="C247" t="s">
        <v>5</v>
      </c>
    </row>
    <row r="248" spans="1:3">
      <c r="A248" t="s">
        <v>43</v>
      </c>
      <c r="B248" t="s">
        <v>252</v>
      </c>
      <c r="C248" t="s">
        <v>5</v>
      </c>
    </row>
    <row r="249" spans="1:3">
      <c r="A249" t="s">
        <v>43</v>
      </c>
      <c r="B249" t="s">
        <v>234</v>
      </c>
      <c r="C249" t="s">
        <v>5</v>
      </c>
    </row>
    <row r="250" spans="1:3">
      <c r="A250" t="s">
        <v>43</v>
      </c>
      <c r="B250" t="s">
        <v>216</v>
      </c>
      <c r="C250" t="s">
        <v>5</v>
      </c>
    </row>
    <row r="251" spans="1:3">
      <c r="A251" t="s">
        <v>43</v>
      </c>
      <c r="B251" t="s">
        <v>253</v>
      </c>
      <c r="C251" t="s">
        <v>5</v>
      </c>
    </row>
    <row r="252" spans="1:3">
      <c r="A252" t="s">
        <v>43</v>
      </c>
      <c r="B252" t="s">
        <v>235</v>
      </c>
      <c r="C252" t="s">
        <v>5</v>
      </c>
    </row>
    <row r="253" spans="1:3">
      <c r="A253" t="s">
        <v>43</v>
      </c>
      <c r="B253" t="s">
        <v>217</v>
      </c>
      <c r="C253" t="s">
        <v>5</v>
      </c>
    </row>
    <row r="254" spans="1:3">
      <c r="A254" t="s">
        <v>43</v>
      </c>
      <c r="B254" t="s">
        <v>248</v>
      </c>
      <c r="C254" t="s">
        <v>5</v>
      </c>
    </row>
    <row r="255" spans="1:3">
      <c r="A255" t="s">
        <v>43</v>
      </c>
      <c r="B255" t="s">
        <v>228</v>
      </c>
      <c r="C255" t="s">
        <v>5</v>
      </c>
    </row>
    <row r="256" spans="1:3">
      <c r="A256" t="s">
        <v>43</v>
      </c>
      <c r="B256" t="s">
        <v>218</v>
      </c>
      <c r="C256" t="s">
        <v>5</v>
      </c>
    </row>
    <row r="257" spans="1:3">
      <c r="A257" t="s">
        <v>43</v>
      </c>
      <c r="B257" t="s">
        <v>254</v>
      </c>
      <c r="C257" t="s">
        <v>5</v>
      </c>
    </row>
    <row r="258" spans="1:3">
      <c r="A258" t="s">
        <v>43</v>
      </c>
      <c r="B258" t="s">
        <v>236</v>
      </c>
      <c r="C258" t="s">
        <v>5</v>
      </c>
    </row>
    <row r="259" spans="1:3">
      <c r="A259" t="s">
        <v>43</v>
      </c>
      <c r="B259" t="s">
        <v>219</v>
      </c>
      <c r="C259" t="s">
        <v>5</v>
      </c>
    </row>
    <row r="260" spans="1:3">
      <c r="A260" t="s">
        <v>43</v>
      </c>
      <c r="B260" t="s">
        <v>255</v>
      </c>
      <c r="C260" t="s">
        <v>5</v>
      </c>
    </row>
    <row r="261" spans="1:3">
      <c r="A261" t="s">
        <v>43</v>
      </c>
      <c r="B261" t="s">
        <v>206</v>
      </c>
      <c r="C261" t="s">
        <v>5</v>
      </c>
    </row>
    <row r="262" spans="1:3">
      <c r="A262" t="s">
        <v>43</v>
      </c>
      <c r="B262" t="s">
        <v>220</v>
      </c>
      <c r="C262" t="s">
        <v>5</v>
      </c>
    </row>
    <row r="263" spans="1:3">
      <c r="A263" t="s">
        <v>43</v>
      </c>
      <c r="B263" t="s">
        <v>256</v>
      </c>
      <c r="C263" t="s">
        <v>5</v>
      </c>
    </row>
    <row r="264" spans="1:3">
      <c r="A264" t="s">
        <v>43</v>
      </c>
      <c r="B264" t="s">
        <v>229</v>
      </c>
      <c r="C264" t="s">
        <v>5</v>
      </c>
    </row>
    <row r="265" spans="1:3">
      <c r="A265" t="s">
        <v>43</v>
      </c>
      <c r="B265" t="s">
        <v>221</v>
      </c>
      <c r="C265" t="s">
        <v>5</v>
      </c>
    </row>
    <row r="266" spans="1:3">
      <c r="A266" t="s">
        <v>43</v>
      </c>
      <c r="B266" t="s">
        <v>257</v>
      </c>
      <c r="C266" t="s">
        <v>5</v>
      </c>
    </row>
    <row r="267" spans="1:3">
      <c r="A267" t="s">
        <v>43</v>
      </c>
      <c r="B267" t="s">
        <v>230</v>
      </c>
      <c r="C267" t="s">
        <v>5</v>
      </c>
    </row>
    <row r="268" spans="1:3">
      <c r="A268" t="s">
        <v>43</v>
      </c>
      <c r="B268" t="s">
        <v>222</v>
      </c>
      <c r="C268" t="s">
        <v>5</v>
      </c>
    </row>
    <row r="269" spans="1:3">
      <c r="A269" t="s">
        <v>43</v>
      </c>
      <c r="B269" t="s">
        <v>258</v>
      </c>
      <c r="C269" t="s">
        <v>5</v>
      </c>
    </row>
    <row r="270" spans="1:3">
      <c r="A270" t="s">
        <v>43</v>
      </c>
      <c r="B270" t="s">
        <v>237</v>
      </c>
      <c r="C270" t="s">
        <v>5</v>
      </c>
    </row>
    <row r="271" spans="1:3">
      <c r="A271" t="s">
        <v>43</v>
      </c>
      <c r="B271" t="s">
        <v>223</v>
      </c>
      <c r="C271" t="s">
        <v>5</v>
      </c>
    </row>
    <row r="272" spans="1:3">
      <c r="A272" t="s">
        <v>43</v>
      </c>
      <c r="B272" t="s">
        <v>259</v>
      </c>
      <c r="C272" t="s">
        <v>5</v>
      </c>
    </row>
    <row r="273" spans="1:3">
      <c r="A273" t="s">
        <v>43</v>
      </c>
      <c r="B273" t="s">
        <v>238</v>
      </c>
      <c r="C273" t="s">
        <v>5</v>
      </c>
    </row>
    <row r="274" spans="1:3">
      <c r="A274" t="s">
        <v>43</v>
      </c>
      <c r="B274" t="s">
        <v>209</v>
      </c>
      <c r="C274" t="s">
        <v>5</v>
      </c>
    </row>
    <row r="275" spans="1:3">
      <c r="A275" t="s">
        <v>43</v>
      </c>
      <c r="B275" t="s">
        <v>239</v>
      </c>
      <c r="C275" t="s">
        <v>5</v>
      </c>
    </row>
    <row r="276" spans="1:3">
      <c r="A276" t="s">
        <v>43</v>
      </c>
      <c r="B276" t="s">
        <v>211</v>
      </c>
      <c r="C276" t="s">
        <v>5</v>
      </c>
    </row>
    <row r="277" spans="1:3">
      <c r="A277" t="s">
        <v>43</v>
      </c>
      <c r="B277" t="s">
        <v>224</v>
      </c>
      <c r="C277" t="s">
        <v>5</v>
      </c>
    </row>
    <row r="278" spans="1:3">
      <c r="A278" t="s">
        <v>43</v>
      </c>
      <c r="B278" t="s">
        <v>260</v>
      </c>
      <c r="C278" t="s">
        <v>5</v>
      </c>
    </row>
    <row r="279" spans="1:3">
      <c r="A279" t="s">
        <v>43</v>
      </c>
      <c r="B279" t="s">
        <v>240</v>
      </c>
      <c r="C279" t="s">
        <v>5</v>
      </c>
    </row>
    <row r="280" spans="1:3">
      <c r="A280" t="s">
        <v>43</v>
      </c>
      <c r="B280" t="s">
        <v>225</v>
      </c>
      <c r="C280" t="s">
        <v>5</v>
      </c>
    </row>
    <row r="281" spans="1:3">
      <c r="A281" t="s">
        <v>43</v>
      </c>
      <c r="B281" t="s">
        <v>261</v>
      </c>
      <c r="C281" t="s">
        <v>5</v>
      </c>
    </row>
    <row r="282" spans="1:3">
      <c r="A282" t="s">
        <v>43</v>
      </c>
      <c r="B282" t="s">
        <v>241</v>
      </c>
      <c r="C282" t="s">
        <v>5</v>
      </c>
    </row>
    <row r="283" spans="1:3">
      <c r="A283" t="s">
        <v>43</v>
      </c>
      <c r="B283" t="s">
        <v>226</v>
      </c>
      <c r="C283" t="s">
        <v>5</v>
      </c>
    </row>
    <row r="284" spans="1:3">
      <c r="A284" t="s">
        <v>43</v>
      </c>
      <c r="B284" t="s">
        <v>262</v>
      </c>
      <c r="C284" t="s">
        <v>5</v>
      </c>
    </row>
    <row r="285" spans="1:3">
      <c r="A285" t="s">
        <v>43</v>
      </c>
      <c r="B285" t="s">
        <v>242</v>
      </c>
      <c r="C285" t="s">
        <v>5</v>
      </c>
    </row>
    <row r="286" spans="1:3">
      <c r="A286" t="s">
        <v>43</v>
      </c>
      <c r="B286" t="s">
        <v>227</v>
      </c>
      <c r="C286" t="s">
        <v>5</v>
      </c>
    </row>
    <row r="287" spans="1:3">
      <c r="A287" t="s">
        <v>43</v>
      </c>
      <c r="B287" t="s">
        <v>263</v>
      </c>
      <c r="C287" t="s">
        <v>5</v>
      </c>
    </row>
    <row r="288" spans="1:3">
      <c r="A288" t="s">
        <v>43</v>
      </c>
      <c r="B288" t="s">
        <v>243</v>
      </c>
      <c r="C288" t="s">
        <v>5</v>
      </c>
    </row>
    <row r="289" spans="1:3">
      <c r="A289" t="s">
        <v>54</v>
      </c>
      <c r="B289" t="s">
        <v>213</v>
      </c>
      <c r="C289" t="s">
        <v>5</v>
      </c>
    </row>
    <row r="290" spans="1:3">
      <c r="A290" t="s">
        <v>54</v>
      </c>
      <c r="B290" t="s">
        <v>207</v>
      </c>
      <c r="C290" t="s">
        <v>5</v>
      </c>
    </row>
    <row r="291" spans="1:3">
      <c r="A291" t="s">
        <v>54</v>
      </c>
      <c r="B291" t="s">
        <v>214</v>
      </c>
      <c r="C291" t="s">
        <v>5</v>
      </c>
    </row>
    <row r="292" spans="1:3">
      <c r="A292" t="s">
        <v>54</v>
      </c>
      <c r="B292" t="s">
        <v>215</v>
      </c>
      <c r="C292" t="s">
        <v>5</v>
      </c>
    </row>
    <row r="293" spans="1:3">
      <c r="A293" t="s">
        <v>54</v>
      </c>
      <c r="B293" t="s">
        <v>216</v>
      </c>
      <c r="C293" t="s">
        <v>5</v>
      </c>
    </row>
    <row r="294" spans="1:3">
      <c r="A294" t="s">
        <v>54</v>
      </c>
      <c r="B294" t="s">
        <v>217</v>
      </c>
      <c r="C294" t="s">
        <v>5</v>
      </c>
    </row>
    <row r="295" spans="1:3">
      <c r="A295" t="s">
        <v>54</v>
      </c>
      <c r="B295" t="s">
        <v>218</v>
      </c>
      <c r="C295" t="s">
        <v>5</v>
      </c>
    </row>
    <row r="296" spans="1:3">
      <c r="A296" t="s">
        <v>54</v>
      </c>
      <c r="B296" t="s">
        <v>219</v>
      </c>
      <c r="C296" t="s">
        <v>5</v>
      </c>
    </row>
    <row r="297" spans="1:3">
      <c r="A297" t="s">
        <v>54</v>
      </c>
      <c r="B297" t="s">
        <v>220</v>
      </c>
      <c r="C297" t="s">
        <v>5</v>
      </c>
    </row>
    <row r="298" spans="1:3">
      <c r="A298" t="s">
        <v>54</v>
      </c>
      <c r="B298" t="s">
        <v>221</v>
      </c>
      <c r="C298" t="s">
        <v>5</v>
      </c>
    </row>
    <row r="299" spans="1:3">
      <c r="A299" t="s">
        <v>54</v>
      </c>
      <c r="B299" t="s">
        <v>222</v>
      </c>
      <c r="C299" t="s">
        <v>5</v>
      </c>
    </row>
    <row r="300" spans="1:3">
      <c r="A300" t="s">
        <v>54</v>
      </c>
      <c r="B300" t="s">
        <v>223</v>
      </c>
      <c r="C300" t="s">
        <v>5</v>
      </c>
    </row>
    <row r="301" spans="1:3">
      <c r="A301" t="s">
        <v>54</v>
      </c>
      <c r="B301" t="s">
        <v>264</v>
      </c>
      <c r="C301" t="s">
        <v>5</v>
      </c>
    </row>
    <row r="302" spans="1:3">
      <c r="A302" t="s">
        <v>54</v>
      </c>
      <c r="B302" t="s">
        <v>209</v>
      </c>
      <c r="C302" t="s">
        <v>5</v>
      </c>
    </row>
    <row r="303" spans="1:3">
      <c r="A303" t="s">
        <v>54</v>
      </c>
      <c r="B303" t="s">
        <v>224</v>
      </c>
      <c r="C303" t="s">
        <v>5</v>
      </c>
    </row>
    <row r="304" spans="1:3">
      <c r="A304" t="s">
        <v>54</v>
      </c>
      <c r="B304" t="s">
        <v>225</v>
      </c>
      <c r="C304" t="s">
        <v>5</v>
      </c>
    </row>
    <row r="305" spans="1:3">
      <c r="A305" t="s">
        <v>54</v>
      </c>
      <c r="B305" t="s">
        <v>226</v>
      </c>
      <c r="C305" t="s">
        <v>5</v>
      </c>
    </row>
    <row r="306" spans="1:3">
      <c r="A306" t="s">
        <v>54</v>
      </c>
      <c r="B306" t="s">
        <v>227</v>
      </c>
      <c r="C306" t="s">
        <v>5</v>
      </c>
    </row>
    <row r="307" spans="1:3">
      <c r="A307" t="s">
        <v>55</v>
      </c>
      <c r="B307" t="s">
        <v>213</v>
      </c>
      <c r="C307" t="s">
        <v>5</v>
      </c>
    </row>
    <row r="308" spans="1:3">
      <c r="A308" t="s">
        <v>55</v>
      </c>
      <c r="B308" t="s">
        <v>207</v>
      </c>
      <c r="C308" t="s">
        <v>5</v>
      </c>
    </row>
    <row r="309" spans="1:3">
      <c r="A309" t="s">
        <v>55</v>
      </c>
      <c r="B309" t="s">
        <v>208</v>
      </c>
      <c r="C309" t="s">
        <v>5</v>
      </c>
    </row>
    <row r="310" spans="1:3">
      <c r="A310" t="s">
        <v>55</v>
      </c>
      <c r="B310" t="s">
        <v>214</v>
      </c>
      <c r="C310" t="s">
        <v>5</v>
      </c>
    </row>
    <row r="311" spans="1:3">
      <c r="A311" t="s">
        <v>55</v>
      </c>
      <c r="B311" t="s">
        <v>215</v>
      </c>
      <c r="C311" t="s">
        <v>5</v>
      </c>
    </row>
    <row r="312" spans="1:3">
      <c r="A312" t="s">
        <v>55</v>
      </c>
      <c r="B312" t="s">
        <v>216</v>
      </c>
      <c r="C312" t="s">
        <v>5</v>
      </c>
    </row>
    <row r="313" spans="1:3">
      <c r="A313" t="s">
        <v>55</v>
      </c>
      <c r="B313" t="s">
        <v>235</v>
      </c>
      <c r="C313" t="s">
        <v>5</v>
      </c>
    </row>
    <row r="314" spans="1:3">
      <c r="A314" t="s">
        <v>55</v>
      </c>
      <c r="B314" t="s">
        <v>217</v>
      </c>
      <c r="C314" t="s">
        <v>5</v>
      </c>
    </row>
    <row r="315" spans="1:3">
      <c r="A315" t="s">
        <v>55</v>
      </c>
      <c r="B315" t="s">
        <v>228</v>
      </c>
      <c r="C315" t="s">
        <v>5</v>
      </c>
    </row>
    <row r="316" spans="1:3">
      <c r="A316" t="s">
        <v>55</v>
      </c>
      <c r="B316" t="s">
        <v>218</v>
      </c>
      <c r="C316" t="s">
        <v>5</v>
      </c>
    </row>
    <row r="317" spans="1:3">
      <c r="A317" t="s">
        <v>55</v>
      </c>
      <c r="B317" t="s">
        <v>219</v>
      </c>
      <c r="C317" t="s">
        <v>5</v>
      </c>
    </row>
    <row r="318" spans="1:3">
      <c r="A318" t="s">
        <v>55</v>
      </c>
      <c r="B318" t="s">
        <v>206</v>
      </c>
      <c r="C318" t="s">
        <v>5</v>
      </c>
    </row>
    <row r="319" spans="1:3">
      <c r="A319" t="s">
        <v>55</v>
      </c>
      <c r="B319" t="s">
        <v>220</v>
      </c>
      <c r="C319" t="s">
        <v>5</v>
      </c>
    </row>
    <row r="320" spans="1:3">
      <c r="A320" t="s">
        <v>55</v>
      </c>
      <c r="B320" t="s">
        <v>229</v>
      </c>
      <c r="C320" t="s">
        <v>5</v>
      </c>
    </row>
    <row r="321" spans="1:3">
      <c r="A321" t="s">
        <v>55</v>
      </c>
      <c r="B321" t="s">
        <v>221</v>
      </c>
      <c r="C321" t="s">
        <v>5</v>
      </c>
    </row>
    <row r="322" spans="1:3">
      <c r="A322" t="s">
        <v>55</v>
      </c>
      <c r="B322" t="s">
        <v>230</v>
      </c>
      <c r="C322" t="s">
        <v>5</v>
      </c>
    </row>
    <row r="323" spans="1:3">
      <c r="A323" t="s">
        <v>55</v>
      </c>
      <c r="B323" t="s">
        <v>222</v>
      </c>
      <c r="C323" t="s">
        <v>5</v>
      </c>
    </row>
    <row r="324" spans="1:3">
      <c r="A324" t="s">
        <v>55</v>
      </c>
      <c r="B324" t="s">
        <v>237</v>
      </c>
      <c r="C324" t="s">
        <v>5</v>
      </c>
    </row>
    <row r="325" spans="1:3">
      <c r="A325" t="s">
        <v>55</v>
      </c>
      <c r="B325" t="s">
        <v>223</v>
      </c>
      <c r="C325" t="s">
        <v>5</v>
      </c>
    </row>
    <row r="326" spans="1:3">
      <c r="A326" t="s">
        <v>55</v>
      </c>
      <c r="B326" t="s">
        <v>209</v>
      </c>
      <c r="C326" t="s">
        <v>5</v>
      </c>
    </row>
    <row r="327" spans="1:3">
      <c r="A327" t="s">
        <v>55</v>
      </c>
      <c r="B327" t="s">
        <v>224</v>
      </c>
      <c r="C327" t="s">
        <v>5</v>
      </c>
    </row>
    <row r="328" spans="1:3">
      <c r="A328" t="s">
        <v>55</v>
      </c>
      <c r="B328" t="s">
        <v>225</v>
      </c>
      <c r="C328" t="s">
        <v>5</v>
      </c>
    </row>
    <row r="329" spans="1:3">
      <c r="A329" t="s">
        <v>55</v>
      </c>
      <c r="B329" t="s">
        <v>226</v>
      </c>
      <c r="C329" t="s">
        <v>5</v>
      </c>
    </row>
    <row r="330" spans="1:3">
      <c r="A330" t="s">
        <v>55</v>
      </c>
      <c r="B330" t="s">
        <v>227</v>
      </c>
      <c r="C330" t="s">
        <v>5</v>
      </c>
    </row>
    <row r="331" spans="1:3">
      <c r="A331" t="s">
        <v>56</v>
      </c>
      <c r="B331" t="s">
        <v>213</v>
      </c>
      <c r="C331" t="s">
        <v>5</v>
      </c>
    </row>
    <row r="332" spans="1:3">
      <c r="A332" t="s">
        <v>56</v>
      </c>
      <c r="B332" t="s">
        <v>207</v>
      </c>
      <c r="C332" t="s">
        <v>5</v>
      </c>
    </row>
    <row r="333" spans="1:3">
      <c r="A333" t="s">
        <v>56</v>
      </c>
      <c r="B333" t="s">
        <v>214</v>
      </c>
      <c r="C333" t="s">
        <v>5</v>
      </c>
    </row>
    <row r="334" spans="1:3">
      <c r="A334" t="s">
        <v>56</v>
      </c>
      <c r="B334" t="s">
        <v>215</v>
      </c>
      <c r="C334" t="s">
        <v>5</v>
      </c>
    </row>
    <row r="335" spans="1:3">
      <c r="A335" t="s">
        <v>56</v>
      </c>
      <c r="B335" t="s">
        <v>216</v>
      </c>
      <c r="C335" t="s">
        <v>5</v>
      </c>
    </row>
    <row r="336" spans="1:3">
      <c r="A336" t="s">
        <v>56</v>
      </c>
      <c r="B336" t="s">
        <v>217</v>
      </c>
      <c r="C336" t="s">
        <v>5</v>
      </c>
    </row>
    <row r="337" spans="1:3">
      <c r="A337" t="s">
        <v>56</v>
      </c>
      <c r="B337" t="s">
        <v>218</v>
      </c>
      <c r="C337" t="s">
        <v>5</v>
      </c>
    </row>
    <row r="338" spans="1:3">
      <c r="A338" t="s">
        <v>56</v>
      </c>
      <c r="B338" t="s">
        <v>219</v>
      </c>
      <c r="C338" t="s">
        <v>5</v>
      </c>
    </row>
    <row r="339" spans="1:3">
      <c r="A339" t="s">
        <v>56</v>
      </c>
      <c r="B339" t="s">
        <v>220</v>
      </c>
      <c r="C339" t="s">
        <v>5</v>
      </c>
    </row>
    <row r="340" spans="1:3">
      <c r="A340" t="s">
        <v>56</v>
      </c>
      <c r="B340" t="s">
        <v>221</v>
      </c>
      <c r="C340" t="s">
        <v>5</v>
      </c>
    </row>
    <row r="341" spans="1:3">
      <c r="A341" t="s">
        <v>56</v>
      </c>
      <c r="B341" t="s">
        <v>222</v>
      </c>
      <c r="C341" t="s">
        <v>5</v>
      </c>
    </row>
    <row r="342" spans="1:3">
      <c r="A342" t="s">
        <v>56</v>
      </c>
      <c r="B342" t="s">
        <v>223</v>
      </c>
      <c r="C342" t="s">
        <v>5</v>
      </c>
    </row>
    <row r="343" spans="1:3">
      <c r="A343" t="s">
        <v>56</v>
      </c>
      <c r="B343" t="s">
        <v>209</v>
      </c>
      <c r="C343" t="s">
        <v>5</v>
      </c>
    </row>
    <row r="344" spans="1:3">
      <c r="A344" t="s">
        <v>56</v>
      </c>
      <c r="B344" t="s">
        <v>224</v>
      </c>
      <c r="C344" t="s">
        <v>5</v>
      </c>
    </row>
    <row r="345" spans="1:3">
      <c r="A345" t="s">
        <v>56</v>
      </c>
      <c r="B345" t="s">
        <v>225</v>
      </c>
      <c r="C345" t="s">
        <v>5</v>
      </c>
    </row>
    <row r="346" spans="1:3">
      <c r="A346" t="s">
        <v>56</v>
      </c>
      <c r="B346" t="s">
        <v>226</v>
      </c>
      <c r="C346" t="s">
        <v>5</v>
      </c>
    </row>
    <row r="347" spans="1:3">
      <c r="A347" t="s">
        <v>56</v>
      </c>
      <c r="B347" t="s">
        <v>227</v>
      </c>
      <c r="C347" t="s">
        <v>5</v>
      </c>
    </row>
    <row r="348" spans="1:3">
      <c r="A348" t="s">
        <v>57</v>
      </c>
      <c r="B348" t="s">
        <v>213</v>
      </c>
      <c r="C348" t="s">
        <v>5</v>
      </c>
    </row>
    <row r="349" spans="1:3">
      <c r="A349" t="s">
        <v>57</v>
      </c>
      <c r="B349" t="s">
        <v>207</v>
      </c>
      <c r="C349" t="s">
        <v>5</v>
      </c>
    </row>
    <row r="350" spans="1:3">
      <c r="A350" t="s">
        <v>57</v>
      </c>
      <c r="B350" t="s">
        <v>214</v>
      </c>
      <c r="C350" t="s">
        <v>5</v>
      </c>
    </row>
    <row r="351" spans="1:3">
      <c r="A351" t="s">
        <v>57</v>
      </c>
      <c r="B351" t="s">
        <v>215</v>
      </c>
      <c r="C351" t="s">
        <v>5</v>
      </c>
    </row>
    <row r="352" spans="1:3">
      <c r="A352" t="s">
        <v>57</v>
      </c>
      <c r="B352" t="s">
        <v>216</v>
      </c>
      <c r="C352" t="s">
        <v>5</v>
      </c>
    </row>
    <row r="353" spans="1:3">
      <c r="A353" t="s">
        <v>57</v>
      </c>
      <c r="B353" t="s">
        <v>217</v>
      </c>
      <c r="C353" t="s">
        <v>5</v>
      </c>
    </row>
    <row r="354" spans="1:3">
      <c r="A354" t="s">
        <v>57</v>
      </c>
      <c r="B354" t="s">
        <v>218</v>
      </c>
      <c r="C354" t="s">
        <v>5</v>
      </c>
    </row>
    <row r="355" spans="1:3">
      <c r="A355" t="s">
        <v>57</v>
      </c>
      <c r="B355" t="s">
        <v>219</v>
      </c>
      <c r="C355" t="s">
        <v>5</v>
      </c>
    </row>
    <row r="356" spans="1:3">
      <c r="A356" t="s">
        <v>57</v>
      </c>
      <c r="B356" t="s">
        <v>220</v>
      </c>
      <c r="C356" t="s">
        <v>5</v>
      </c>
    </row>
    <row r="357" spans="1:3">
      <c r="A357" t="s">
        <v>57</v>
      </c>
      <c r="B357" t="s">
        <v>221</v>
      </c>
      <c r="C357" t="s">
        <v>5</v>
      </c>
    </row>
    <row r="358" spans="1:3">
      <c r="A358" t="s">
        <v>57</v>
      </c>
      <c r="B358" t="s">
        <v>222</v>
      </c>
      <c r="C358" t="s">
        <v>5</v>
      </c>
    </row>
    <row r="359" spans="1:3">
      <c r="A359" t="s">
        <v>57</v>
      </c>
      <c r="B359" t="s">
        <v>223</v>
      </c>
      <c r="C359" t="s">
        <v>5</v>
      </c>
    </row>
    <row r="360" spans="1:3">
      <c r="A360" t="s">
        <v>57</v>
      </c>
      <c r="B360" t="s">
        <v>209</v>
      </c>
      <c r="C360" t="s">
        <v>5</v>
      </c>
    </row>
    <row r="361" spans="1:3">
      <c r="A361" t="s">
        <v>57</v>
      </c>
      <c r="B361" t="s">
        <v>224</v>
      </c>
      <c r="C361" t="s">
        <v>5</v>
      </c>
    </row>
    <row r="362" spans="1:3">
      <c r="A362" t="s">
        <v>57</v>
      </c>
      <c r="B362" t="s">
        <v>225</v>
      </c>
      <c r="C362" t="s">
        <v>5</v>
      </c>
    </row>
    <row r="363" spans="1:3">
      <c r="A363" t="s">
        <v>57</v>
      </c>
      <c r="B363" t="s">
        <v>226</v>
      </c>
      <c r="C363" t="s">
        <v>5</v>
      </c>
    </row>
    <row r="364" spans="1:3">
      <c r="A364" t="s">
        <v>57</v>
      </c>
      <c r="B364" t="s">
        <v>227</v>
      </c>
      <c r="C364" t="s">
        <v>5</v>
      </c>
    </row>
    <row r="365" spans="1:3">
      <c r="A365" t="s">
        <v>58</v>
      </c>
      <c r="B365" t="s">
        <v>213</v>
      </c>
      <c r="C365" t="s">
        <v>5</v>
      </c>
    </row>
    <row r="366" spans="1:3">
      <c r="A366" t="s">
        <v>58</v>
      </c>
      <c r="B366" t="s">
        <v>207</v>
      </c>
      <c r="C366" t="s">
        <v>5</v>
      </c>
    </row>
    <row r="367" spans="1:3">
      <c r="A367" t="s">
        <v>58</v>
      </c>
      <c r="B367" t="s">
        <v>214</v>
      </c>
      <c r="C367" t="s">
        <v>5</v>
      </c>
    </row>
    <row r="368" spans="1:3">
      <c r="A368" t="s">
        <v>58</v>
      </c>
      <c r="B368" t="s">
        <v>215</v>
      </c>
      <c r="C368" t="s">
        <v>5</v>
      </c>
    </row>
    <row r="369" spans="1:3">
      <c r="A369" t="s">
        <v>58</v>
      </c>
      <c r="B369" t="s">
        <v>216</v>
      </c>
      <c r="C369" t="s">
        <v>5</v>
      </c>
    </row>
    <row r="370" spans="1:3">
      <c r="A370" t="s">
        <v>58</v>
      </c>
      <c r="B370" t="s">
        <v>217</v>
      </c>
      <c r="C370" t="s">
        <v>5</v>
      </c>
    </row>
    <row r="371" spans="1:3">
      <c r="A371" t="s">
        <v>58</v>
      </c>
      <c r="B371" t="s">
        <v>218</v>
      </c>
      <c r="C371" t="s">
        <v>5</v>
      </c>
    </row>
    <row r="372" spans="1:3">
      <c r="A372" t="s">
        <v>58</v>
      </c>
      <c r="B372" t="s">
        <v>219</v>
      </c>
      <c r="C372" t="s">
        <v>5</v>
      </c>
    </row>
    <row r="373" spans="1:3">
      <c r="A373" t="s">
        <v>58</v>
      </c>
      <c r="B373" t="s">
        <v>220</v>
      </c>
      <c r="C373" t="s">
        <v>5</v>
      </c>
    </row>
    <row r="374" spans="1:3">
      <c r="A374" t="s">
        <v>58</v>
      </c>
      <c r="B374" t="s">
        <v>221</v>
      </c>
      <c r="C374" t="s">
        <v>5</v>
      </c>
    </row>
    <row r="375" spans="1:3">
      <c r="A375" t="s">
        <v>58</v>
      </c>
      <c r="B375" t="s">
        <v>222</v>
      </c>
      <c r="C375" t="s">
        <v>5</v>
      </c>
    </row>
    <row r="376" spans="1:3">
      <c r="A376" t="s">
        <v>58</v>
      </c>
      <c r="B376" t="s">
        <v>223</v>
      </c>
      <c r="C376" t="s">
        <v>5</v>
      </c>
    </row>
    <row r="377" spans="1:3">
      <c r="A377" t="s">
        <v>58</v>
      </c>
      <c r="B377" t="s">
        <v>209</v>
      </c>
      <c r="C377" t="s">
        <v>5</v>
      </c>
    </row>
    <row r="378" spans="1:3">
      <c r="A378" t="s">
        <v>58</v>
      </c>
      <c r="B378" t="s">
        <v>224</v>
      </c>
      <c r="C378" t="s">
        <v>5</v>
      </c>
    </row>
    <row r="379" spans="1:3">
      <c r="A379" t="s">
        <v>58</v>
      </c>
      <c r="B379" t="s">
        <v>225</v>
      </c>
      <c r="C379" t="s">
        <v>5</v>
      </c>
    </row>
    <row r="380" spans="1:3">
      <c r="A380" t="s">
        <v>58</v>
      </c>
      <c r="B380" t="s">
        <v>226</v>
      </c>
      <c r="C380" t="s">
        <v>5</v>
      </c>
    </row>
    <row r="381" spans="1:3">
      <c r="A381" t="s">
        <v>58</v>
      </c>
      <c r="B381" t="s">
        <v>227</v>
      </c>
      <c r="C381" t="s">
        <v>5</v>
      </c>
    </row>
    <row r="382" spans="1:3">
      <c r="A382" t="s">
        <v>59</v>
      </c>
      <c r="B382" t="s">
        <v>213</v>
      </c>
      <c r="C382" t="s">
        <v>5</v>
      </c>
    </row>
    <row r="383" spans="1:3">
      <c r="A383" t="s">
        <v>59</v>
      </c>
      <c r="B383" t="s">
        <v>207</v>
      </c>
      <c r="C383" t="s">
        <v>5</v>
      </c>
    </row>
    <row r="384" spans="1:3">
      <c r="A384" t="s">
        <v>59</v>
      </c>
      <c r="B384" t="s">
        <v>214</v>
      </c>
      <c r="C384" t="s">
        <v>5</v>
      </c>
    </row>
    <row r="385" spans="1:3">
      <c r="A385" t="s">
        <v>59</v>
      </c>
      <c r="B385" t="s">
        <v>215</v>
      </c>
      <c r="C385" t="s">
        <v>5</v>
      </c>
    </row>
    <row r="386" spans="1:3">
      <c r="A386" t="s">
        <v>59</v>
      </c>
      <c r="B386" t="s">
        <v>216</v>
      </c>
      <c r="C386" t="s">
        <v>5</v>
      </c>
    </row>
    <row r="387" spans="1:3">
      <c r="A387" t="s">
        <v>59</v>
      </c>
      <c r="B387" t="s">
        <v>217</v>
      </c>
      <c r="C387" t="s">
        <v>5</v>
      </c>
    </row>
    <row r="388" spans="1:3">
      <c r="A388" t="s">
        <v>59</v>
      </c>
      <c r="B388" t="s">
        <v>218</v>
      </c>
      <c r="C388" t="s">
        <v>5</v>
      </c>
    </row>
    <row r="389" spans="1:3">
      <c r="A389" t="s">
        <v>59</v>
      </c>
      <c r="B389" t="s">
        <v>219</v>
      </c>
      <c r="C389" t="s">
        <v>5</v>
      </c>
    </row>
    <row r="390" spans="1:3">
      <c r="A390" t="s">
        <v>59</v>
      </c>
      <c r="B390" t="s">
        <v>220</v>
      </c>
      <c r="C390" t="s">
        <v>5</v>
      </c>
    </row>
    <row r="391" spans="1:3">
      <c r="A391" t="s">
        <v>59</v>
      </c>
      <c r="B391" t="s">
        <v>221</v>
      </c>
      <c r="C391" t="s">
        <v>5</v>
      </c>
    </row>
    <row r="392" spans="1:3">
      <c r="A392" t="s">
        <v>59</v>
      </c>
      <c r="B392" t="s">
        <v>222</v>
      </c>
      <c r="C392" t="s">
        <v>5</v>
      </c>
    </row>
    <row r="393" spans="1:3">
      <c r="A393" t="s">
        <v>59</v>
      </c>
      <c r="B393" t="s">
        <v>223</v>
      </c>
      <c r="C393" t="s">
        <v>5</v>
      </c>
    </row>
    <row r="394" spans="1:3">
      <c r="A394" t="s">
        <v>59</v>
      </c>
      <c r="B394" t="s">
        <v>209</v>
      </c>
      <c r="C394" t="s">
        <v>5</v>
      </c>
    </row>
    <row r="395" spans="1:3">
      <c r="A395" t="s">
        <v>59</v>
      </c>
      <c r="B395" t="s">
        <v>224</v>
      </c>
      <c r="C395" t="s">
        <v>5</v>
      </c>
    </row>
    <row r="396" spans="1:3">
      <c r="A396" t="s">
        <v>59</v>
      </c>
      <c r="B396" t="s">
        <v>225</v>
      </c>
      <c r="C396" t="s">
        <v>5</v>
      </c>
    </row>
    <row r="397" spans="1:3">
      <c r="A397" t="s">
        <v>59</v>
      </c>
      <c r="B397" t="s">
        <v>226</v>
      </c>
      <c r="C397" t="s">
        <v>5</v>
      </c>
    </row>
    <row r="398" spans="1:3">
      <c r="A398" t="s">
        <v>59</v>
      </c>
      <c r="B398" t="s">
        <v>227</v>
      </c>
      <c r="C398" t="s">
        <v>5</v>
      </c>
    </row>
    <row r="399" spans="1:3">
      <c r="A399" t="s">
        <v>60</v>
      </c>
      <c r="B399" t="s">
        <v>232</v>
      </c>
      <c r="C399" t="s">
        <v>5</v>
      </c>
    </row>
    <row r="400" spans="1:3">
      <c r="A400" t="s">
        <v>60</v>
      </c>
      <c r="B400" t="s">
        <v>207</v>
      </c>
      <c r="C400" t="s">
        <v>5</v>
      </c>
    </row>
    <row r="401" spans="1:3">
      <c r="A401" t="s">
        <v>60</v>
      </c>
      <c r="B401" t="s">
        <v>208</v>
      </c>
      <c r="C401" t="s">
        <v>5</v>
      </c>
    </row>
    <row r="402" spans="1:3">
      <c r="A402" t="s">
        <v>60</v>
      </c>
      <c r="B402" t="s">
        <v>235</v>
      </c>
      <c r="C402" t="s">
        <v>5</v>
      </c>
    </row>
    <row r="403" spans="1:3">
      <c r="A403" t="s">
        <v>60</v>
      </c>
      <c r="B403" t="s">
        <v>228</v>
      </c>
      <c r="C403" t="s">
        <v>5</v>
      </c>
    </row>
    <row r="404" spans="1:3">
      <c r="A404" t="s">
        <v>60</v>
      </c>
      <c r="B404" t="s">
        <v>206</v>
      </c>
      <c r="C404" t="s">
        <v>5</v>
      </c>
    </row>
    <row r="405" spans="1:3">
      <c r="A405" t="s">
        <v>60</v>
      </c>
      <c r="B405" t="s">
        <v>229</v>
      </c>
      <c r="C405" t="s">
        <v>5</v>
      </c>
    </row>
    <row r="406" spans="1:3">
      <c r="A406" t="s">
        <v>60</v>
      </c>
      <c r="B406" t="s">
        <v>230</v>
      </c>
      <c r="C406" t="s">
        <v>5</v>
      </c>
    </row>
    <row r="407" spans="1:3">
      <c r="A407" t="s">
        <v>60</v>
      </c>
      <c r="B407" t="s">
        <v>237</v>
      </c>
      <c r="C407" t="s">
        <v>5</v>
      </c>
    </row>
    <row r="408" spans="1:3">
      <c r="A408" t="s">
        <v>62</v>
      </c>
      <c r="B408" t="s">
        <v>213</v>
      </c>
      <c r="C408" t="s">
        <v>5</v>
      </c>
    </row>
    <row r="409" spans="1:3">
      <c r="A409" t="s">
        <v>62</v>
      </c>
      <c r="B409" t="s">
        <v>232</v>
      </c>
      <c r="C409" t="s">
        <v>5</v>
      </c>
    </row>
    <row r="410" spans="1:3">
      <c r="A410" t="s">
        <v>62</v>
      </c>
      <c r="B410" t="s">
        <v>207</v>
      </c>
      <c r="C410" t="s">
        <v>5</v>
      </c>
    </row>
    <row r="411" spans="1:3">
      <c r="A411" t="s">
        <v>62</v>
      </c>
      <c r="B411" t="s">
        <v>208</v>
      </c>
      <c r="C411" t="s">
        <v>5</v>
      </c>
    </row>
    <row r="412" spans="1:3">
      <c r="A412" t="s">
        <v>62</v>
      </c>
      <c r="B412" t="s">
        <v>214</v>
      </c>
      <c r="C412" t="s">
        <v>5</v>
      </c>
    </row>
    <row r="413" spans="1:3">
      <c r="A413" t="s">
        <v>62</v>
      </c>
      <c r="B413" t="s">
        <v>233</v>
      </c>
      <c r="C413" t="s">
        <v>5</v>
      </c>
    </row>
    <row r="414" spans="1:3">
      <c r="A414" t="s">
        <v>62</v>
      </c>
      <c r="B414" t="s">
        <v>215</v>
      </c>
      <c r="C414" t="s">
        <v>5</v>
      </c>
    </row>
    <row r="415" spans="1:3">
      <c r="A415" t="s">
        <v>62</v>
      </c>
      <c r="B415" t="s">
        <v>234</v>
      </c>
      <c r="C415" t="s">
        <v>5</v>
      </c>
    </row>
    <row r="416" spans="1:3">
      <c r="A416" t="s">
        <v>62</v>
      </c>
      <c r="B416" t="s">
        <v>216</v>
      </c>
      <c r="C416" t="s">
        <v>5</v>
      </c>
    </row>
    <row r="417" spans="1:3">
      <c r="A417" t="s">
        <v>62</v>
      </c>
      <c r="B417" t="s">
        <v>235</v>
      </c>
      <c r="C417" t="s">
        <v>5</v>
      </c>
    </row>
    <row r="418" spans="1:3">
      <c r="A418" t="s">
        <v>62</v>
      </c>
      <c r="B418" t="s">
        <v>217</v>
      </c>
      <c r="C418" t="s">
        <v>5</v>
      </c>
    </row>
    <row r="419" spans="1:3">
      <c r="A419" t="s">
        <v>62</v>
      </c>
      <c r="B419" t="s">
        <v>228</v>
      </c>
      <c r="C419" t="s">
        <v>5</v>
      </c>
    </row>
    <row r="420" spans="1:3">
      <c r="A420" t="s">
        <v>62</v>
      </c>
      <c r="B420" t="s">
        <v>218</v>
      </c>
      <c r="C420" t="s">
        <v>5</v>
      </c>
    </row>
    <row r="421" spans="1:3">
      <c r="A421" t="s">
        <v>62</v>
      </c>
      <c r="B421" t="s">
        <v>236</v>
      </c>
      <c r="C421" t="s">
        <v>5</v>
      </c>
    </row>
    <row r="422" spans="1:3">
      <c r="A422" t="s">
        <v>62</v>
      </c>
      <c r="B422" t="s">
        <v>219</v>
      </c>
      <c r="C422" t="s">
        <v>5</v>
      </c>
    </row>
    <row r="423" spans="1:3">
      <c r="A423" t="s">
        <v>62</v>
      </c>
      <c r="B423" t="s">
        <v>206</v>
      </c>
      <c r="C423" t="s">
        <v>5</v>
      </c>
    </row>
    <row r="424" spans="1:3">
      <c r="A424" t="s">
        <v>62</v>
      </c>
      <c r="B424" t="s">
        <v>220</v>
      </c>
      <c r="C424" t="s">
        <v>5</v>
      </c>
    </row>
    <row r="425" spans="1:3">
      <c r="A425" t="s">
        <v>62</v>
      </c>
      <c r="B425" t="s">
        <v>229</v>
      </c>
      <c r="C425" t="s">
        <v>5</v>
      </c>
    </row>
    <row r="426" spans="1:3">
      <c r="A426" t="s">
        <v>62</v>
      </c>
      <c r="B426" t="s">
        <v>221</v>
      </c>
      <c r="C426" t="s">
        <v>5</v>
      </c>
    </row>
    <row r="427" spans="1:3">
      <c r="A427" t="s">
        <v>62</v>
      </c>
      <c r="B427" t="s">
        <v>230</v>
      </c>
      <c r="C427" t="s">
        <v>5</v>
      </c>
    </row>
    <row r="428" spans="1:3">
      <c r="A428" t="s">
        <v>62</v>
      </c>
      <c r="B428" t="s">
        <v>222</v>
      </c>
      <c r="C428" t="s">
        <v>5</v>
      </c>
    </row>
    <row r="429" spans="1:3">
      <c r="A429" t="s">
        <v>62</v>
      </c>
      <c r="B429" t="s">
        <v>237</v>
      </c>
      <c r="C429" t="s">
        <v>5</v>
      </c>
    </row>
    <row r="430" spans="1:3">
      <c r="A430" t="s">
        <v>62</v>
      </c>
      <c r="B430" t="s">
        <v>223</v>
      </c>
      <c r="C430" t="s">
        <v>5</v>
      </c>
    </row>
    <row r="431" spans="1:3">
      <c r="A431" t="s">
        <v>62</v>
      </c>
      <c r="B431" t="s">
        <v>238</v>
      </c>
      <c r="C431" t="s">
        <v>5</v>
      </c>
    </row>
    <row r="432" spans="1:3">
      <c r="A432" t="s">
        <v>62</v>
      </c>
      <c r="B432" t="s">
        <v>209</v>
      </c>
      <c r="C432" t="s">
        <v>5</v>
      </c>
    </row>
    <row r="433" spans="1:3">
      <c r="A433" t="s">
        <v>62</v>
      </c>
      <c r="B433" t="s">
        <v>211</v>
      </c>
      <c r="C433" t="s">
        <v>5</v>
      </c>
    </row>
    <row r="434" spans="1:3">
      <c r="A434" t="s">
        <v>62</v>
      </c>
      <c r="B434" t="s">
        <v>224</v>
      </c>
      <c r="C434" t="s">
        <v>5</v>
      </c>
    </row>
    <row r="435" spans="1:3">
      <c r="A435" t="s">
        <v>62</v>
      </c>
      <c r="B435" t="s">
        <v>240</v>
      </c>
      <c r="C435" t="s">
        <v>5</v>
      </c>
    </row>
    <row r="436" spans="1:3">
      <c r="A436" t="s">
        <v>62</v>
      </c>
      <c r="B436" t="s">
        <v>225</v>
      </c>
      <c r="C436" t="s">
        <v>5</v>
      </c>
    </row>
    <row r="437" spans="1:3">
      <c r="A437" t="s">
        <v>62</v>
      </c>
      <c r="B437" t="s">
        <v>241</v>
      </c>
      <c r="C437" t="s">
        <v>5</v>
      </c>
    </row>
    <row r="438" spans="1:3">
      <c r="A438" t="s">
        <v>62</v>
      </c>
      <c r="B438" t="s">
        <v>226</v>
      </c>
      <c r="C438" t="s">
        <v>5</v>
      </c>
    </row>
    <row r="439" spans="1:3">
      <c r="A439" t="s">
        <v>62</v>
      </c>
      <c r="B439" t="s">
        <v>242</v>
      </c>
      <c r="C439" t="s">
        <v>5</v>
      </c>
    </row>
    <row r="440" spans="1:3">
      <c r="A440" t="s">
        <v>62</v>
      </c>
      <c r="B440" t="s">
        <v>227</v>
      </c>
      <c r="C440" t="s">
        <v>5</v>
      </c>
    </row>
    <row r="441" spans="1:3">
      <c r="A441" t="s">
        <v>62</v>
      </c>
      <c r="B441" t="s">
        <v>243</v>
      </c>
      <c r="C441" t="s">
        <v>5</v>
      </c>
    </row>
    <row r="442" spans="1:3">
      <c r="A442" t="s">
        <v>63</v>
      </c>
      <c r="B442" t="s">
        <v>207</v>
      </c>
      <c r="C442" t="s">
        <v>5</v>
      </c>
    </row>
    <row r="443" spans="1:3">
      <c r="A443" t="s">
        <v>63</v>
      </c>
      <c r="B443" t="s">
        <v>208</v>
      </c>
      <c r="C443" t="s">
        <v>5</v>
      </c>
    </row>
    <row r="444" spans="1:3">
      <c r="A444" t="s">
        <v>63</v>
      </c>
      <c r="B444" t="s">
        <v>235</v>
      </c>
      <c r="C444" t="s">
        <v>5</v>
      </c>
    </row>
    <row r="445" spans="1:3">
      <c r="A445" t="s">
        <v>63</v>
      </c>
      <c r="B445" t="s">
        <v>228</v>
      </c>
      <c r="C445" t="s">
        <v>5</v>
      </c>
    </row>
    <row r="446" spans="1:3">
      <c r="A446" t="s">
        <v>63</v>
      </c>
      <c r="B446" t="s">
        <v>206</v>
      </c>
      <c r="C446" t="s">
        <v>5</v>
      </c>
    </row>
    <row r="447" spans="1:3">
      <c r="A447" t="s">
        <v>63</v>
      </c>
      <c r="B447" t="s">
        <v>229</v>
      </c>
      <c r="C447" t="s">
        <v>5</v>
      </c>
    </row>
    <row r="448" spans="1:3">
      <c r="A448" t="s">
        <v>63</v>
      </c>
      <c r="B448" t="s">
        <v>230</v>
      </c>
      <c r="C448" t="s">
        <v>5</v>
      </c>
    </row>
    <row r="449" spans="1:3">
      <c r="A449" t="s">
        <v>63</v>
      </c>
      <c r="B449" t="s">
        <v>222</v>
      </c>
      <c r="C449" t="s">
        <v>5</v>
      </c>
    </row>
    <row r="450" spans="1:3">
      <c r="A450" t="s">
        <v>63</v>
      </c>
      <c r="B450" t="s">
        <v>237</v>
      </c>
      <c r="C450" t="s">
        <v>5</v>
      </c>
    </row>
    <row r="451" spans="1:3">
      <c r="A451" t="s">
        <v>64</v>
      </c>
      <c r="B451" t="s">
        <v>213</v>
      </c>
      <c r="C451" t="s">
        <v>5</v>
      </c>
    </row>
    <row r="452" spans="1:3">
      <c r="A452" t="s">
        <v>64</v>
      </c>
      <c r="B452" t="s">
        <v>207</v>
      </c>
      <c r="C452" t="s">
        <v>5</v>
      </c>
    </row>
    <row r="453" spans="1:3">
      <c r="A453" t="s">
        <v>64</v>
      </c>
      <c r="B453" t="s">
        <v>214</v>
      </c>
      <c r="C453" t="s">
        <v>5</v>
      </c>
    </row>
    <row r="454" spans="1:3">
      <c r="A454" t="s">
        <v>64</v>
      </c>
      <c r="B454" t="s">
        <v>215</v>
      </c>
      <c r="C454" t="s">
        <v>5</v>
      </c>
    </row>
    <row r="455" spans="1:3">
      <c r="A455" t="s">
        <v>64</v>
      </c>
      <c r="B455" t="s">
        <v>216</v>
      </c>
      <c r="C455" t="s">
        <v>5</v>
      </c>
    </row>
    <row r="456" spans="1:3">
      <c r="A456" t="s">
        <v>64</v>
      </c>
      <c r="B456" t="s">
        <v>217</v>
      </c>
      <c r="C456" t="s">
        <v>5</v>
      </c>
    </row>
    <row r="457" spans="1:3">
      <c r="A457" t="s">
        <v>64</v>
      </c>
      <c r="B457" t="s">
        <v>218</v>
      </c>
      <c r="C457" t="s">
        <v>5</v>
      </c>
    </row>
    <row r="458" spans="1:3">
      <c r="A458" t="s">
        <v>64</v>
      </c>
      <c r="B458" t="s">
        <v>219</v>
      </c>
      <c r="C458" t="s">
        <v>5</v>
      </c>
    </row>
    <row r="459" spans="1:3">
      <c r="A459" t="s">
        <v>64</v>
      </c>
      <c r="B459" t="s">
        <v>220</v>
      </c>
      <c r="C459" t="s">
        <v>5</v>
      </c>
    </row>
    <row r="460" spans="1:3">
      <c r="A460" t="s">
        <v>64</v>
      </c>
      <c r="B460" t="s">
        <v>221</v>
      </c>
      <c r="C460" t="s">
        <v>5</v>
      </c>
    </row>
    <row r="461" spans="1:3">
      <c r="A461" t="s">
        <v>64</v>
      </c>
      <c r="B461" t="s">
        <v>222</v>
      </c>
      <c r="C461" t="s">
        <v>5</v>
      </c>
    </row>
    <row r="462" spans="1:3">
      <c r="A462" t="s">
        <v>64</v>
      </c>
      <c r="B462" t="s">
        <v>223</v>
      </c>
      <c r="C462" t="s">
        <v>5</v>
      </c>
    </row>
    <row r="463" spans="1:3">
      <c r="A463" t="s">
        <v>64</v>
      </c>
      <c r="B463" t="s">
        <v>209</v>
      </c>
      <c r="C463" t="s">
        <v>5</v>
      </c>
    </row>
    <row r="464" spans="1:3">
      <c r="A464" t="s">
        <v>64</v>
      </c>
      <c r="B464" t="s">
        <v>224</v>
      </c>
      <c r="C464" t="s">
        <v>5</v>
      </c>
    </row>
    <row r="465" spans="1:3">
      <c r="A465" t="s">
        <v>64</v>
      </c>
      <c r="B465" t="s">
        <v>225</v>
      </c>
      <c r="C465" t="s">
        <v>5</v>
      </c>
    </row>
    <row r="466" spans="1:3">
      <c r="A466" t="s">
        <v>64</v>
      </c>
      <c r="B466" t="s">
        <v>226</v>
      </c>
      <c r="C466" t="s">
        <v>5</v>
      </c>
    </row>
    <row r="467" spans="1:3">
      <c r="A467" t="s">
        <v>64</v>
      </c>
      <c r="B467" t="s">
        <v>227</v>
      </c>
      <c r="C467" t="s">
        <v>5</v>
      </c>
    </row>
    <row r="468" spans="1:3">
      <c r="A468" t="s">
        <v>65</v>
      </c>
      <c r="B468" t="s">
        <v>213</v>
      </c>
      <c r="C468" t="s">
        <v>5</v>
      </c>
    </row>
    <row r="469" spans="1:3">
      <c r="A469" t="s">
        <v>65</v>
      </c>
      <c r="B469" t="s">
        <v>207</v>
      </c>
      <c r="C469" t="s">
        <v>5</v>
      </c>
    </row>
    <row r="470" spans="1:3">
      <c r="A470" t="s">
        <v>65</v>
      </c>
      <c r="B470" t="s">
        <v>214</v>
      </c>
      <c r="C470" t="s">
        <v>5</v>
      </c>
    </row>
    <row r="471" spans="1:3">
      <c r="A471" t="s">
        <v>65</v>
      </c>
      <c r="B471" t="s">
        <v>215</v>
      </c>
      <c r="C471" t="s">
        <v>5</v>
      </c>
    </row>
    <row r="472" spans="1:3">
      <c r="A472" t="s">
        <v>65</v>
      </c>
      <c r="B472" t="s">
        <v>216</v>
      </c>
      <c r="C472" t="s">
        <v>5</v>
      </c>
    </row>
    <row r="473" spans="1:3">
      <c r="A473" t="s">
        <v>65</v>
      </c>
      <c r="B473" t="s">
        <v>217</v>
      </c>
      <c r="C473" t="s">
        <v>5</v>
      </c>
    </row>
    <row r="474" spans="1:3">
      <c r="A474" t="s">
        <v>65</v>
      </c>
      <c r="B474" t="s">
        <v>218</v>
      </c>
      <c r="C474" t="s">
        <v>5</v>
      </c>
    </row>
    <row r="475" spans="1:3">
      <c r="A475" t="s">
        <v>65</v>
      </c>
      <c r="B475" t="s">
        <v>219</v>
      </c>
      <c r="C475" t="s">
        <v>5</v>
      </c>
    </row>
    <row r="476" spans="1:3">
      <c r="A476" t="s">
        <v>65</v>
      </c>
      <c r="B476" t="s">
        <v>220</v>
      </c>
      <c r="C476" t="s">
        <v>5</v>
      </c>
    </row>
    <row r="477" spans="1:3">
      <c r="A477" t="s">
        <v>65</v>
      </c>
      <c r="B477" t="s">
        <v>221</v>
      </c>
      <c r="C477" t="s">
        <v>5</v>
      </c>
    </row>
    <row r="478" spans="1:3">
      <c r="A478" t="s">
        <v>65</v>
      </c>
      <c r="B478" t="s">
        <v>222</v>
      </c>
      <c r="C478" t="s">
        <v>5</v>
      </c>
    </row>
    <row r="479" spans="1:3">
      <c r="A479" t="s">
        <v>65</v>
      </c>
      <c r="B479" t="s">
        <v>223</v>
      </c>
      <c r="C479" t="s">
        <v>5</v>
      </c>
    </row>
    <row r="480" spans="1:3">
      <c r="A480" t="s">
        <v>65</v>
      </c>
      <c r="B480" t="s">
        <v>209</v>
      </c>
      <c r="C480" t="s">
        <v>5</v>
      </c>
    </row>
    <row r="481" spans="1:3">
      <c r="A481" t="s">
        <v>65</v>
      </c>
      <c r="B481" t="s">
        <v>224</v>
      </c>
      <c r="C481" t="s">
        <v>5</v>
      </c>
    </row>
    <row r="482" spans="1:3">
      <c r="A482" t="s">
        <v>65</v>
      </c>
      <c r="B482" t="s">
        <v>225</v>
      </c>
      <c r="C482" t="s">
        <v>5</v>
      </c>
    </row>
    <row r="483" spans="1:3">
      <c r="A483" t="s">
        <v>65</v>
      </c>
      <c r="B483" t="s">
        <v>226</v>
      </c>
      <c r="C483" t="s">
        <v>5</v>
      </c>
    </row>
    <row r="484" spans="1:3">
      <c r="A484" t="s">
        <v>65</v>
      </c>
      <c r="B484" t="s">
        <v>227</v>
      </c>
      <c r="C484" t="s">
        <v>5</v>
      </c>
    </row>
    <row r="485" spans="1:3">
      <c r="A485" t="s">
        <v>66</v>
      </c>
      <c r="B485" t="s">
        <v>213</v>
      </c>
      <c r="C485" t="s">
        <v>5</v>
      </c>
    </row>
    <row r="486" spans="1:3">
      <c r="A486" t="s">
        <v>66</v>
      </c>
      <c r="B486" t="s">
        <v>207</v>
      </c>
      <c r="C486" t="s">
        <v>5</v>
      </c>
    </row>
    <row r="487" spans="1:3">
      <c r="A487" t="s">
        <v>66</v>
      </c>
      <c r="B487" t="s">
        <v>214</v>
      </c>
      <c r="C487" t="s">
        <v>5</v>
      </c>
    </row>
    <row r="488" spans="1:3">
      <c r="A488" t="s">
        <v>66</v>
      </c>
      <c r="B488" t="s">
        <v>215</v>
      </c>
      <c r="C488" t="s">
        <v>5</v>
      </c>
    </row>
    <row r="489" spans="1:3">
      <c r="A489" t="s">
        <v>66</v>
      </c>
      <c r="B489" t="s">
        <v>216</v>
      </c>
      <c r="C489" t="s">
        <v>5</v>
      </c>
    </row>
    <row r="490" spans="1:3">
      <c r="A490" t="s">
        <v>66</v>
      </c>
      <c r="B490" t="s">
        <v>217</v>
      </c>
      <c r="C490" t="s">
        <v>5</v>
      </c>
    </row>
    <row r="491" spans="1:3">
      <c r="A491" t="s">
        <v>66</v>
      </c>
      <c r="B491" t="s">
        <v>218</v>
      </c>
      <c r="C491" t="s">
        <v>5</v>
      </c>
    </row>
    <row r="492" spans="1:3">
      <c r="A492" t="s">
        <v>66</v>
      </c>
      <c r="B492" t="s">
        <v>219</v>
      </c>
      <c r="C492" t="s">
        <v>5</v>
      </c>
    </row>
    <row r="493" spans="1:3">
      <c r="A493" t="s">
        <v>66</v>
      </c>
      <c r="B493" t="s">
        <v>220</v>
      </c>
      <c r="C493" t="s">
        <v>5</v>
      </c>
    </row>
    <row r="494" spans="1:3">
      <c r="A494" t="s">
        <v>66</v>
      </c>
      <c r="B494" t="s">
        <v>221</v>
      </c>
      <c r="C494" t="s">
        <v>5</v>
      </c>
    </row>
    <row r="495" spans="1:3">
      <c r="A495" t="s">
        <v>66</v>
      </c>
      <c r="B495" t="s">
        <v>222</v>
      </c>
      <c r="C495" t="s">
        <v>5</v>
      </c>
    </row>
    <row r="496" spans="1:3">
      <c r="A496" t="s">
        <v>66</v>
      </c>
      <c r="B496" t="s">
        <v>223</v>
      </c>
      <c r="C496" t="s">
        <v>5</v>
      </c>
    </row>
    <row r="497" spans="1:3">
      <c r="A497" t="s">
        <v>66</v>
      </c>
      <c r="B497" t="s">
        <v>209</v>
      </c>
      <c r="C497" t="s">
        <v>5</v>
      </c>
    </row>
    <row r="498" spans="1:3">
      <c r="A498" t="s">
        <v>66</v>
      </c>
      <c r="B498" t="s">
        <v>224</v>
      </c>
      <c r="C498" t="s">
        <v>5</v>
      </c>
    </row>
    <row r="499" spans="1:3">
      <c r="A499" t="s">
        <v>66</v>
      </c>
      <c r="B499" t="s">
        <v>225</v>
      </c>
      <c r="C499" t="s">
        <v>5</v>
      </c>
    </row>
    <row r="500" spans="1:3">
      <c r="A500" t="s">
        <v>66</v>
      </c>
      <c r="B500" t="s">
        <v>226</v>
      </c>
      <c r="C500" t="s">
        <v>5</v>
      </c>
    </row>
    <row r="501" spans="1:3">
      <c r="A501" t="s">
        <v>66</v>
      </c>
      <c r="B501" t="s">
        <v>227</v>
      </c>
      <c r="C501" t="s">
        <v>5</v>
      </c>
    </row>
    <row r="502" spans="1:3">
      <c r="A502" t="s">
        <v>67</v>
      </c>
      <c r="B502" t="s">
        <v>213</v>
      </c>
      <c r="C502" t="s">
        <v>5</v>
      </c>
    </row>
    <row r="503" spans="1:3">
      <c r="A503" t="s">
        <v>67</v>
      </c>
      <c r="B503" t="s">
        <v>207</v>
      </c>
      <c r="C503" t="s">
        <v>5</v>
      </c>
    </row>
    <row r="504" spans="1:3">
      <c r="A504" t="s">
        <v>67</v>
      </c>
      <c r="B504" t="s">
        <v>214</v>
      </c>
      <c r="C504" t="s">
        <v>5</v>
      </c>
    </row>
    <row r="505" spans="1:3">
      <c r="A505" t="s">
        <v>67</v>
      </c>
      <c r="B505" t="s">
        <v>215</v>
      </c>
      <c r="C505" t="s">
        <v>5</v>
      </c>
    </row>
    <row r="506" spans="1:3">
      <c r="A506" t="s">
        <v>67</v>
      </c>
      <c r="B506" t="s">
        <v>216</v>
      </c>
      <c r="C506" t="s">
        <v>5</v>
      </c>
    </row>
    <row r="507" spans="1:3">
      <c r="A507" t="s">
        <v>67</v>
      </c>
      <c r="B507" t="s">
        <v>217</v>
      </c>
      <c r="C507" t="s">
        <v>5</v>
      </c>
    </row>
    <row r="508" spans="1:3">
      <c r="A508" t="s">
        <v>67</v>
      </c>
      <c r="B508" t="s">
        <v>218</v>
      </c>
      <c r="C508" t="s">
        <v>5</v>
      </c>
    </row>
    <row r="509" spans="1:3">
      <c r="A509" t="s">
        <v>67</v>
      </c>
      <c r="B509" t="s">
        <v>219</v>
      </c>
      <c r="C509" t="s">
        <v>5</v>
      </c>
    </row>
    <row r="510" spans="1:3">
      <c r="A510" t="s">
        <v>67</v>
      </c>
      <c r="B510" t="s">
        <v>220</v>
      </c>
      <c r="C510" t="s">
        <v>5</v>
      </c>
    </row>
    <row r="511" spans="1:3">
      <c r="A511" t="s">
        <v>67</v>
      </c>
      <c r="B511" t="s">
        <v>221</v>
      </c>
      <c r="C511" t="s">
        <v>5</v>
      </c>
    </row>
    <row r="512" spans="1:3">
      <c r="A512" t="s">
        <v>67</v>
      </c>
      <c r="B512" t="s">
        <v>222</v>
      </c>
      <c r="C512" t="s">
        <v>5</v>
      </c>
    </row>
    <row r="513" spans="1:3">
      <c r="A513" t="s">
        <v>67</v>
      </c>
      <c r="B513" t="s">
        <v>223</v>
      </c>
      <c r="C513" t="s">
        <v>5</v>
      </c>
    </row>
    <row r="514" spans="1:3">
      <c r="A514" t="s">
        <v>67</v>
      </c>
      <c r="B514" t="s">
        <v>209</v>
      </c>
      <c r="C514" t="s">
        <v>5</v>
      </c>
    </row>
    <row r="515" spans="1:3">
      <c r="A515" t="s">
        <v>67</v>
      </c>
      <c r="B515" t="s">
        <v>224</v>
      </c>
      <c r="C515" t="s">
        <v>5</v>
      </c>
    </row>
    <row r="516" spans="1:3">
      <c r="A516" t="s">
        <v>67</v>
      </c>
      <c r="B516" t="s">
        <v>225</v>
      </c>
      <c r="C516" t="s">
        <v>5</v>
      </c>
    </row>
    <row r="517" spans="1:3">
      <c r="A517" t="s">
        <v>67</v>
      </c>
      <c r="B517" t="s">
        <v>226</v>
      </c>
      <c r="C517" t="s">
        <v>5</v>
      </c>
    </row>
    <row r="518" spans="1:3">
      <c r="A518" t="s">
        <v>67</v>
      </c>
      <c r="B518" t="s">
        <v>227</v>
      </c>
      <c r="C518" t="s">
        <v>5</v>
      </c>
    </row>
    <row r="519" spans="1:3">
      <c r="A519" t="s">
        <v>68</v>
      </c>
      <c r="B519" t="s">
        <v>213</v>
      </c>
      <c r="C519" t="s">
        <v>5</v>
      </c>
    </row>
    <row r="520" spans="1:3">
      <c r="A520" t="s">
        <v>68</v>
      </c>
      <c r="B520" t="s">
        <v>207</v>
      </c>
      <c r="C520" t="s">
        <v>5</v>
      </c>
    </row>
    <row r="521" spans="1:3">
      <c r="A521" t="s">
        <v>68</v>
      </c>
      <c r="B521" t="s">
        <v>214</v>
      </c>
      <c r="C521" t="s">
        <v>5</v>
      </c>
    </row>
    <row r="522" spans="1:3">
      <c r="A522" t="s">
        <v>68</v>
      </c>
      <c r="B522" t="s">
        <v>215</v>
      </c>
      <c r="C522" t="s">
        <v>5</v>
      </c>
    </row>
    <row r="523" spans="1:3">
      <c r="A523" t="s">
        <v>68</v>
      </c>
      <c r="B523" t="s">
        <v>216</v>
      </c>
      <c r="C523" t="s">
        <v>5</v>
      </c>
    </row>
    <row r="524" spans="1:3">
      <c r="A524" t="s">
        <v>68</v>
      </c>
      <c r="B524" t="s">
        <v>217</v>
      </c>
      <c r="C524" t="s">
        <v>5</v>
      </c>
    </row>
    <row r="525" spans="1:3">
      <c r="A525" t="s">
        <v>68</v>
      </c>
      <c r="B525" t="s">
        <v>218</v>
      </c>
      <c r="C525" t="s">
        <v>5</v>
      </c>
    </row>
    <row r="526" spans="1:3">
      <c r="A526" t="s">
        <v>68</v>
      </c>
      <c r="B526" t="s">
        <v>219</v>
      </c>
      <c r="C526" t="s">
        <v>5</v>
      </c>
    </row>
    <row r="527" spans="1:3">
      <c r="A527" t="s">
        <v>68</v>
      </c>
      <c r="B527" t="s">
        <v>220</v>
      </c>
      <c r="C527" t="s">
        <v>5</v>
      </c>
    </row>
    <row r="528" spans="1:3">
      <c r="A528" t="s">
        <v>68</v>
      </c>
      <c r="B528" t="s">
        <v>221</v>
      </c>
      <c r="C528" t="s">
        <v>5</v>
      </c>
    </row>
    <row r="529" spans="1:3">
      <c r="A529" t="s">
        <v>68</v>
      </c>
      <c r="B529" t="s">
        <v>222</v>
      </c>
      <c r="C529" t="s">
        <v>5</v>
      </c>
    </row>
    <row r="530" spans="1:3">
      <c r="A530" t="s">
        <v>68</v>
      </c>
      <c r="B530" t="s">
        <v>223</v>
      </c>
      <c r="C530" t="s">
        <v>5</v>
      </c>
    </row>
    <row r="531" spans="1:3">
      <c r="A531" t="s">
        <v>68</v>
      </c>
      <c r="B531" t="s">
        <v>264</v>
      </c>
      <c r="C531" t="s">
        <v>5</v>
      </c>
    </row>
    <row r="532" spans="1:3">
      <c r="A532" t="s">
        <v>68</v>
      </c>
      <c r="B532" t="s">
        <v>209</v>
      </c>
      <c r="C532" t="s">
        <v>5</v>
      </c>
    </row>
    <row r="533" spans="1:3">
      <c r="A533" t="s">
        <v>68</v>
      </c>
      <c r="B533" t="s">
        <v>224</v>
      </c>
      <c r="C533" t="s">
        <v>5</v>
      </c>
    </row>
    <row r="534" spans="1:3">
      <c r="A534" t="s">
        <v>68</v>
      </c>
      <c r="B534" t="s">
        <v>225</v>
      </c>
      <c r="C534" t="s">
        <v>5</v>
      </c>
    </row>
    <row r="535" spans="1:3">
      <c r="A535" t="s">
        <v>68</v>
      </c>
      <c r="B535" t="s">
        <v>226</v>
      </c>
      <c r="C535" t="s">
        <v>5</v>
      </c>
    </row>
    <row r="536" spans="1:3">
      <c r="A536" t="s">
        <v>68</v>
      </c>
      <c r="B536" t="s">
        <v>227</v>
      </c>
      <c r="C536" t="s">
        <v>5</v>
      </c>
    </row>
    <row r="537" spans="1:3">
      <c r="A537" t="s">
        <v>69</v>
      </c>
      <c r="B537" t="s">
        <v>213</v>
      </c>
      <c r="C537" t="s">
        <v>5</v>
      </c>
    </row>
    <row r="538" spans="1:3">
      <c r="A538" t="s">
        <v>69</v>
      </c>
      <c r="B538" t="s">
        <v>207</v>
      </c>
      <c r="C538" t="s">
        <v>5</v>
      </c>
    </row>
    <row r="539" spans="1:3">
      <c r="A539" t="s">
        <v>69</v>
      </c>
      <c r="B539" t="s">
        <v>214</v>
      </c>
      <c r="C539" t="s">
        <v>5</v>
      </c>
    </row>
    <row r="540" spans="1:3">
      <c r="A540" t="s">
        <v>69</v>
      </c>
      <c r="B540" t="s">
        <v>215</v>
      </c>
      <c r="C540" t="s">
        <v>5</v>
      </c>
    </row>
    <row r="541" spans="1:3">
      <c r="A541" t="s">
        <v>69</v>
      </c>
      <c r="B541" t="s">
        <v>216</v>
      </c>
      <c r="C541" t="s">
        <v>5</v>
      </c>
    </row>
    <row r="542" spans="1:3">
      <c r="A542" t="s">
        <v>69</v>
      </c>
      <c r="B542" t="s">
        <v>217</v>
      </c>
      <c r="C542" t="s">
        <v>5</v>
      </c>
    </row>
    <row r="543" spans="1:3">
      <c r="A543" t="s">
        <v>69</v>
      </c>
      <c r="B543" t="s">
        <v>218</v>
      </c>
      <c r="C543" t="s">
        <v>5</v>
      </c>
    </row>
    <row r="544" spans="1:3">
      <c r="A544" t="s">
        <v>69</v>
      </c>
      <c r="B544" t="s">
        <v>219</v>
      </c>
      <c r="C544" t="s">
        <v>5</v>
      </c>
    </row>
    <row r="545" spans="1:3">
      <c r="A545" t="s">
        <v>69</v>
      </c>
      <c r="B545" t="s">
        <v>220</v>
      </c>
      <c r="C545" t="s">
        <v>5</v>
      </c>
    </row>
    <row r="546" spans="1:3">
      <c r="A546" t="s">
        <v>69</v>
      </c>
      <c r="B546" t="s">
        <v>221</v>
      </c>
      <c r="C546" t="s">
        <v>5</v>
      </c>
    </row>
    <row r="547" spans="1:3">
      <c r="A547" t="s">
        <v>69</v>
      </c>
      <c r="B547" t="s">
        <v>222</v>
      </c>
      <c r="C547" t="s">
        <v>5</v>
      </c>
    </row>
    <row r="548" spans="1:3">
      <c r="A548" t="s">
        <v>69</v>
      </c>
      <c r="B548" t="s">
        <v>223</v>
      </c>
      <c r="C548" t="s">
        <v>5</v>
      </c>
    </row>
    <row r="549" spans="1:3">
      <c r="A549" t="s">
        <v>69</v>
      </c>
      <c r="B549" t="s">
        <v>209</v>
      </c>
      <c r="C549" t="s">
        <v>5</v>
      </c>
    </row>
    <row r="550" spans="1:3">
      <c r="A550" t="s">
        <v>69</v>
      </c>
      <c r="B550" t="s">
        <v>224</v>
      </c>
      <c r="C550" t="s">
        <v>5</v>
      </c>
    </row>
    <row r="551" spans="1:3">
      <c r="A551" t="s">
        <v>69</v>
      </c>
      <c r="B551" t="s">
        <v>225</v>
      </c>
      <c r="C551" t="s">
        <v>5</v>
      </c>
    </row>
    <row r="552" spans="1:3">
      <c r="A552" t="s">
        <v>69</v>
      </c>
      <c r="B552" t="s">
        <v>226</v>
      </c>
      <c r="C552" t="s">
        <v>5</v>
      </c>
    </row>
    <row r="553" spans="1:3">
      <c r="A553" t="s">
        <v>69</v>
      </c>
      <c r="B553" t="s">
        <v>227</v>
      </c>
      <c r="C553" t="s">
        <v>5</v>
      </c>
    </row>
    <row r="554" spans="1:3">
      <c r="A554" t="s">
        <v>70</v>
      </c>
      <c r="B554" t="s">
        <v>213</v>
      </c>
      <c r="C554" t="s">
        <v>5</v>
      </c>
    </row>
    <row r="555" spans="1:3">
      <c r="A555" t="s">
        <v>70</v>
      </c>
      <c r="B555" t="s">
        <v>207</v>
      </c>
      <c r="C555" t="s">
        <v>5</v>
      </c>
    </row>
    <row r="556" spans="1:3">
      <c r="A556" t="s">
        <v>70</v>
      </c>
      <c r="B556" t="s">
        <v>214</v>
      </c>
      <c r="C556" t="s">
        <v>5</v>
      </c>
    </row>
    <row r="557" spans="1:3">
      <c r="A557" t="s">
        <v>70</v>
      </c>
      <c r="B557" t="s">
        <v>215</v>
      </c>
      <c r="C557" t="s">
        <v>5</v>
      </c>
    </row>
    <row r="558" spans="1:3">
      <c r="A558" t="s">
        <v>70</v>
      </c>
      <c r="B558" t="s">
        <v>216</v>
      </c>
      <c r="C558" t="s">
        <v>5</v>
      </c>
    </row>
    <row r="559" spans="1:3">
      <c r="A559" t="s">
        <v>70</v>
      </c>
      <c r="B559" t="s">
        <v>217</v>
      </c>
      <c r="C559" t="s">
        <v>5</v>
      </c>
    </row>
    <row r="560" spans="1:3">
      <c r="A560" t="s">
        <v>70</v>
      </c>
      <c r="B560" t="s">
        <v>218</v>
      </c>
      <c r="C560" t="s">
        <v>5</v>
      </c>
    </row>
    <row r="561" spans="1:3">
      <c r="A561" t="s">
        <v>70</v>
      </c>
      <c r="B561" t="s">
        <v>219</v>
      </c>
      <c r="C561" t="s">
        <v>5</v>
      </c>
    </row>
    <row r="562" spans="1:3">
      <c r="A562" t="s">
        <v>70</v>
      </c>
      <c r="B562" t="s">
        <v>220</v>
      </c>
      <c r="C562" t="s">
        <v>5</v>
      </c>
    </row>
    <row r="563" spans="1:3">
      <c r="A563" t="s">
        <v>70</v>
      </c>
      <c r="B563" t="s">
        <v>221</v>
      </c>
      <c r="C563" t="s">
        <v>5</v>
      </c>
    </row>
    <row r="564" spans="1:3">
      <c r="A564" t="s">
        <v>70</v>
      </c>
      <c r="B564" t="s">
        <v>222</v>
      </c>
      <c r="C564" t="s">
        <v>5</v>
      </c>
    </row>
    <row r="565" spans="1:3">
      <c r="A565" t="s">
        <v>70</v>
      </c>
      <c r="B565" t="s">
        <v>223</v>
      </c>
      <c r="C565" t="s">
        <v>5</v>
      </c>
    </row>
    <row r="566" spans="1:3">
      <c r="A566" t="s">
        <v>70</v>
      </c>
      <c r="B566" t="s">
        <v>209</v>
      </c>
      <c r="C566" t="s">
        <v>5</v>
      </c>
    </row>
    <row r="567" spans="1:3">
      <c r="A567" t="s">
        <v>70</v>
      </c>
      <c r="B567" t="s">
        <v>224</v>
      </c>
      <c r="C567" t="s">
        <v>5</v>
      </c>
    </row>
    <row r="568" spans="1:3">
      <c r="A568" t="s">
        <v>70</v>
      </c>
      <c r="B568" t="s">
        <v>225</v>
      </c>
      <c r="C568" t="s">
        <v>5</v>
      </c>
    </row>
    <row r="569" spans="1:3">
      <c r="A569" t="s">
        <v>70</v>
      </c>
      <c r="B569" t="s">
        <v>226</v>
      </c>
      <c r="C569" t="s">
        <v>5</v>
      </c>
    </row>
    <row r="570" spans="1:3">
      <c r="A570" t="s">
        <v>70</v>
      </c>
      <c r="B570" t="s">
        <v>227</v>
      </c>
      <c r="C570" t="s">
        <v>5</v>
      </c>
    </row>
    <row r="571" spans="1:3">
      <c r="A571" t="s">
        <v>71</v>
      </c>
      <c r="B571" t="s">
        <v>213</v>
      </c>
      <c r="C571" t="s">
        <v>5</v>
      </c>
    </row>
    <row r="572" spans="1:3">
      <c r="A572" t="s">
        <v>71</v>
      </c>
      <c r="B572" t="s">
        <v>207</v>
      </c>
      <c r="C572" t="s">
        <v>5</v>
      </c>
    </row>
    <row r="573" spans="1:3">
      <c r="A573" t="s">
        <v>71</v>
      </c>
      <c r="B573" t="s">
        <v>214</v>
      </c>
      <c r="C573" t="s">
        <v>5</v>
      </c>
    </row>
    <row r="574" spans="1:3">
      <c r="A574" t="s">
        <v>71</v>
      </c>
      <c r="B574" t="s">
        <v>215</v>
      </c>
      <c r="C574" t="s">
        <v>5</v>
      </c>
    </row>
    <row r="575" spans="1:3">
      <c r="A575" t="s">
        <v>71</v>
      </c>
      <c r="B575" t="s">
        <v>216</v>
      </c>
      <c r="C575" t="s">
        <v>5</v>
      </c>
    </row>
    <row r="576" spans="1:3">
      <c r="A576" t="s">
        <v>71</v>
      </c>
      <c r="B576" t="s">
        <v>217</v>
      </c>
      <c r="C576" t="s">
        <v>5</v>
      </c>
    </row>
    <row r="577" spans="1:3">
      <c r="A577" t="s">
        <v>71</v>
      </c>
      <c r="B577" t="s">
        <v>218</v>
      </c>
      <c r="C577" t="s">
        <v>5</v>
      </c>
    </row>
    <row r="578" spans="1:3">
      <c r="A578" t="s">
        <v>71</v>
      </c>
      <c r="B578" t="s">
        <v>219</v>
      </c>
      <c r="C578" t="s">
        <v>5</v>
      </c>
    </row>
    <row r="579" spans="1:3">
      <c r="A579" t="s">
        <v>71</v>
      </c>
      <c r="B579" t="s">
        <v>220</v>
      </c>
      <c r="C579" t="s">
        <v>5</v>
      </c>
    </row>
    <row r="580" spans="1:3">
      <c r="A580" t="s">
        <v>71</v>
      </c>
      <c r="B580" t="s">
        <v>221</v>
      </c>
      <c r="C580" t="s">
        <v>5</v>
      </c>
    </row>
    <row r="581" spans="1:3">
      <c r="A581" t="s">
        <v>71</v>
      </c>
      <c r="B581" t="s">
        <v>222</v>
      </c>
      <c r="C581" t="s">
        <v>5</v>
      </c>
    </row>
    <row r="582" spans="1:3">
      <c r="A582" t="s">
        <v>71</v>
      </c>
      <c r="B582" t="s">
        <v>223</v>
      </c>
      <c r="C582" t="s">
        <v>5</v>
      </c>
    </row>
    <row r="583" spans="1:3">
      <c r="A583" t="s">
        <v>71</v>
      </c>
      <c r="B583" t="s">
        <v>209</v>
      </c>
      <c r="C583" t="s">
        <v>5</v>
      </c>
    </row>
    <row r="584" spans="1:3">
      <c r="A584" t="s">
        <v>71</v>
      </c>
      <c r="B584" t="s">
        <v>224</v>
      </c>
      <c r="C584" t="s">
        <v>5</v>
      </c>
    </row>
    <row r="585" spans="1:3">
      <c r="A585" t="s">
        <v>71</v>
      </c>
      <c r="B585" t="s">
        <v>225</v>
      </c>
      <c r="C585" t="s">
        <v>5</v>
      </c>
    </row>
    <row r="586" spans="1:3">
      <c r="A586" t="s">
        <v>71</v>
      </c>
      <c r="B586" t="s">
        <v>226</v>
      </c>
      <c r="C586" t="s">
        <v>5</v>
      </c>
    </row>
    <row r="587" spans="1:3">
      <c r="A587" t="s">
        <v>71</v>
      </c>
      <c r="B587" t="s">
        <v>227</v>
      </c>
      <c r="C587" t="s">
        <v>5</v>
      </c>
    </row>
    <row r="588" spans="1:3">
      <c r="A588" t="s">
        <v>72</v>
      </c>
      <c r="B588" t="s">
        <v>213</v>
      </c>
      <c r="C588" t="s">
        <v>5</v>
      </c>
    </row>
    <row r="589" spans="1:3">
      <c r="A589" t="s">
        <v>72</v>
      </c>
      <c r="B589" t="s">
        <v>207</v>
      </c>
      <c r="C589" t="s">
        <v>5</v>
      </c>
    </row>
    <row r="590" spans="1:3">
      <c r="A590" t="s">
        <v>72</v>
      </c>
      <c r="B590" t="s">
        <v>214</v>
      </c>
      <c r="C590" t="s">
        <v>5</v>
      </c>
    </row>
    <row r="591" spans="1:3">
      <c r="A591" t="s">
        <v>72</v>
      </c>
      <c r="B591" t="s">
        <v>215</v>
      </c>
      <c r="C591" t="s">
        <v>5</v>
      </c>
    </row>
    <row r="592" spans="1:3">
      <c r="A592" t="s">
        <v>72</v>
      </c>
      <c r="B592" t="s">
        <v>216</v>
      </c>
      <c r="C592" t="s">
        <v>5</v>
      </c>
    </row>
    <row r="593" spans="1:3">
      <c r="A593" t="s">
        <v>72</v>
      </c>
      <c r="B593" t="s">
        <v>217</v>
      </c>
      <c r="C593" t="s">
        <v>5</v>
      </c>
    </row>
    <row r="594" spans="1:3">
      <c r="A594" t="s">
        <v>72</v>
      </c>
      <c r="B594" t="s">
        <v>218</v>
      </c>
      <c r="C594" t="s">
        <v>5</v>
      </c>
    </row>
    <row r="595" spans="1:3">
      <c r="A595" t="s">
        <v>72</v>
      </c>
      <c r="B595" t="s">
        <v>219</v>
      </c>
      <c r="C595" t="s">
        <v>5</v>
      </c>
    </row>
    <row r="596" spans="1:3">
      <c r="A596" t="s">
        <v>72</v>
      </c>
      <c r="B596" t="s">
        <v>220</v>
      </c>
      <c r="C596" t="s">
        <v>5</v>
      </c>
    </row>
    <row r="597" spans="1:3">
      <c r="A597" t="s">
        <v>72</v>
      </c>
      <c r="B597" t="s">
        <v>221</v>
      </c>
      <c r="C597" t="s">
        <v>5</v>
      </c>
    </row>
    <row r="598" spans="1:3">
      <c r="A598" t="s">
        <v>72</v>
      </c>
      <c r="B598" t="s">
        <v>222</v>
      </c>
      <c r="C598" t="s">
        <v>5</v>
      </c>
    </row>
    <row r="599" spans="1:3">
      <c r="A599" t="s">
        <v>72</v>
      </c>
      <c r="B599" t="s">
        <v>223</v>
      </c>
      <c r="C599" t="s">
        <v>5</v>
      </c>
    </row>
    <row r="600" spans="1:3">
      <c r="A600" t="s">
        <v>72</v>
      </c>
      <c r="B600" t="s">
        <v>209</v>
      </c>
      <c r="C600" t="s">
        <v>5</v>
      </c>
    </row>
    <row r="601" spans="1:3">
      <c r="A601" t="s">
        <v>72</v>
      </c>
      <c r="B601" t="s">
        <v>224</v>
      </c>
      <c r="C601" t="s">
        <v>5</v>
      </c>
    </row>
    <row r="602" spans="1:3">
      <c r="A602" t="s">
        <v>72</v>
      </c>
      <c r="B602" t="s">
        <v>225</v>
      </c>
      <c r="C602" t="s">
        <v>5</v>
      </c>
    </row>
    <row r="603" spans="1:3">
      <c r="A603" t="s">
        <v>72</v>
      </c>
      <c r="B603" t="s">
        <v>226</v>
      </c>
      <c r="C603" t="s">
        <v>5</v>
      </c>
    </row>
    <row r="604" spans="1:3">
      <c r="A604" t="s">
        <v>72</v>
      </c>
      <c r="B604" t="s">
        <v>227</v>
      </c>
      <c r="C604" t="s">
        <v>5</v>
      </c>
    </row>
    <row r="605" spans="1:3">
      <c r="A605" t="s">
        <v>73</v>
      </c>
      <c r="B605" t="s">
        <v>213</v>
      </c>
      <c r="C605" t="s">
        <v>5</v>
      </c>
    </row>
    <row r="606" spans="1:3">
      <c r="A606" t="s">
        <v>73</v>
      </c>
      <c r="B606" t="s">
        <v>207</v>
      </c>
      <c r="C606" t="s">
        <v>5</v>
      </c>
    </row>
    <row r="607" spans="1:3">
      <c r="A607" t="s">
        <v>73</v>
      </c>
      <c r="B607" t="s">
        <v>214</v>
      </c>
      <c r="C607" t="s">
        <v>5</v>
      </c>
    </row>
    <row r="608" spans="1:3">
      <c r="A608" t="s">
        <v>73</v>
      </c>
      <c r="B608" t="s">
        <v>215</v>
      </c>
      <c r="C608" t="s">
        <v>5</v>
      </c>
    </row>
    <row r="609" spans="1:3">
      <c r="A609" t="s">
        <v>73</v>
      </c>
      <c r="B609" t="s">
        <v>216</v>
      </c>
      <c r="C609" t="s">
        <v>5</v>
      </c>
    </row>
    <row r="610" spans="1:3">
      <c r="A610" t="s">
        <v>73</v>
      </c>
      <c r="B610" t="s">
        <v>217</v>
      </c>
      <c r="C610" t="s">
        <v>5</v>
      </c>
    </row>
    <row r="611" spans="1:3">
      <c r="A611" t="s">
        <v>73</v>
      </c>
      <c r="B611" t="s">
        <v>218</v>
      </c>
      <c r="C611" t="s">
        <v>5</v>
      </c>
    </row>
    <row r="612" spans="1:3">
      <c r="A612" t="s">
        <v>73</v>
      </c>
      <c r="B612" t="s">
        <v>219</v>
      </c>
      <c r="C612" t="s">
        <v>5</v>
      </c>
    </row>
    <row r="613" spans="1:3">
      <c r="A613" t="s">
        <v>73</v>
      </c>
      <c r="B613" t="s">
        <v>220</v>
      </c>
      <c r="C613" t="s">
        <v>5</v>
      </c>
    </row>
    <row r="614" spans="1:3">
      <c r="A614" t="s">
        <v>73</v>
      </c>
      <c r="B614" t="s">
        <v>221</v>
      </c>
      <c r="C614" t="s">
        <v>5</v>
      </c>
    </row>
    <row r="615" spans="1:3">
      <c r="A615" t="s">
        <v>73</v>
      </c>
      <c r="B615" t="s">
        <v>222</v>
      </c>
      <c r="C615" t="s">
        <v>5</v>
      </c>
    </row>
    <row r="616" spans="1:3">
      <c r="A616" t="s">
        <v>73</v>
      </c>
      <c r="B616" t="s">
        <v>223</v>
      </c>
      <c r="C616" t="s">
        <v>5</v>
      </c>
    </row>
    <row r="617" spans="1:3">
      <c r="A617" t="s">
        <v>73</v>
      </c>
      <c r="B617" t="s">
        <v>209</v>
      </c>
      <c r="C617" t="s">
        <v>5</v>
      </c>
    </row>
    <row r="618" spans="1:3">
      <c r="A618" t="s">
        <v>73</v>
      </c>
      <c r="B618" t="s">
        <v>224</v>
      </c>
      <c r="C618" t="s">
        <v>5</v>
      </c>
    </row>
    <row r="619" spans="1:3">
      <c r="A619" t="s">
        <v>73</v>
      </c>
      <c r="B619" t="s">
        <v>225</v>
      </c>
      <c r="C619" t="s">
        <v>5</v>
      </c>
    </row>
    <row r="620" spans="1:3">
      <c r="A620" t="s">
        <v>73</v>
      </c>
      <c r="B620" t="s">
        <v>226</v>
      </c>
      <c r="C620" t="s">
        <v>5</v>
      </c>
    </row>
    <row r="621" spans="1:3">
      <c r="A621" t="s">
        <v>73</v>
      </c>
      <c r="B621" t="s">
        <v>227</v>
      </c>
      <c r="C621" t="s">
        <v>5</v>
      </c>
    </row>
    <row r="622" spans="1:3">
      <c r="A622" t="s">
        <v>265</v>
      </c>
      <c r="B622" t="s">
        <v>217</v>
      </c>
      <c r="C622" t="s">
        <v>5</v>
      </c>
    </row>
    <row r="623" spans="1:3">
      <c r="A623" t="s">
        <v>265</v>
      </c>
      <c r="B623" t="s">
        <v>228</v>
      </c>
      <c r="C623" t="s">
        <v>5</v>
      </c>
    </row>
    <row r="624" spans="1:3">
      <c r="A624" t="s">
        <v>74</v>
      </c>
      <c r="B624" t="s">
        <v>213</v>
      </c>
      <c r="C624" t="s">
        <v>5</v>
      </c>
    </row>
    <row r="625" spans="1:3">
      <c r="A625" t="s">
        <v>74</v>
      </c>
      <c r="B625" t="s">
        <v>207</v>
      </c>
      <c r="C625" t="s">
        <v>5</v>
      </c>
    </row>
    <row r="626" spans="1:3">
      <c r="A626" t="s">
        <v>74</v>
      </c>
      <c r="B626" t="s">
        <v>214</v>
      </c>
      <c r="C626" t="s">
        <v>5</v>
      </c>
    </row>
    <row r="627" spans="1:3">
      <c r="A627" t="s">
        <v>74</v>
      </c>
      <c r="B627" t="s">
        <v>215</v>
      </c>
      <c r="C627" t="s">
        <v>5</v>
      </c>
    </row>
    <row r="628" spans="1:3">
      <c r="A628" t="s">
        <v>74</v>
      </c>
      <c r="B628" t="s">
        <v>216</v>
      </c>
      <c r="C628" t="s">
        <v>5</v>
      </c>
    </row>
    <row r="629" spans="1:3">
      <c r="A629" t="s">
        <v>74</v>
      </c>
      <c r="B629" t="s">
        <v>217</v>
      </c>
      <c r="C629" t="s">
        <v>5</v>
      </c>
    </row>
    <row r="630" spans="1:3">
      <c r="A630" t="s">
        <v>74</v>
      </c>
      <c r="B630" t="s">
        <v>218</v>
      </c>
      <c r="C630" t="s">
        <v>5</v>
      </c>
    </row>
    <row r="631" spans="1:3">
      <c r="A631" t="s">
        <v>74</v>
      </c>
      <c r="B631" t="s">
        <v>219</v>
      </c>
      <c r="C631" t="s">
        <v>5</v>
      </c>
    </row>
    <row r="632" spans="1:3">
      <c r="A632" t="s">
        <v>74</v>
      </c>
      <c r="B632" t="s">
        <v>220</v>
      </c>
      <c r="C632" t="s">
        <v>5</v>
      </c>
    </row>
    <row r="633" spans="1:3">
      <c r="A633" t="s">
        <v>74</v>
      </c>
      <c r="B633" t="s">
        <v>221</v>
      </c>
      <c r="C633" t="s">
        <v>5</v>
      </c>
    </row>
    <row r="634" spans="1:3">
      <c r="A634" t="s">
        <v>74</v>
      </c>
      <c r="B634" t="s">
        <v>222</v>
      </c>
      <c r="C634" t="s">
        <v>5</v>
      </c>
    </row>
    <row r="635" spans="1:3">
      <c r="A635" t="s">
        <v>74</v>
      </c>
      <c r="B635" t="s">
        <v>223</v>
      </c>
      <c r="C635" t="s">
        <v>5</v>
      </c>
    </row>
    <row r="636" spans="1:3">
      <c r="A636" t="s">
        <v>74</v>
      </c>
      <c r="B636" t="s">
        <v>209</v>
      </c>
      <c r="C636" t="s">
        <v>5</v>
      </c>
    </row>
    <row r="637" spans="1:3">
      <c r="A637" t="s">
        <v>74</v>
      </c>
      <c r="B637" t="s">
        <v>224</v>
      </c>
      <c r="C637" t="s">
        <v>5</v>
      </c>
    </row>
    <row r="638" spans="1:3">
      <c r="A638" t="s">
        <v>74</v>
      </c>
      <c r="B638" t="s">
        <v>225</v>
      </c>
      <c r="C638" t="s">
        <v>5</v>
      </c>
    </row>
    <row r="639" spans="1:3">
      <c r="A639" t="s">
        <v>74</v>
      </c>
      <c r="B639" t="s">
        <v>226</v>
      </c>
      <c r="C639" t="s">
        <v>5</v>
      </c>
    </row>
    <row r="640" spans="1:3">
      <c r="A640" t="s">
        <v>74</v>
      </c>
      <c r="B640" t="s">
        <v>227</v>
      </c>
      <c r="C640" t="s">
        <v>5</v>
      </c>
    </row>
    <row r="641" spans="1:3">
      <c r="A641" t="s">
        <v>75</v>
      </c>
      <c r="B641" t="s">
        <v>213</v>
      </c>
      <c r="C641" t="s">
        <v>5</v>
      </c>
    </row>
    <row r="642" spans="1:3">
      <c r="A642" t="s">
        <v>75</v>
      </c>
      <c r="B642" t="s">
        <v>207</v>
      </c>
      <c r="C642" t="s">
        <v>5</v>
      </c>
    </row>
    <row r="643" spans="1:3">
      <c r="A643" t="s">
        <v>75</v>
      </c>
      <c r="B643" t="s">
        <v>214</v>
      </c>
      <c r="C643" t="s">
        <v>5</v>
      </c>
    </row>
    <row r="644" spans="1:3">
      <c r="A644" t="s">
        <v>75</v>
      </c>
      <c r="B644" t="s">
        <v>215</v>
      </c>
      <c r="C644" t="s">
        <v>5</v>
      </c>
    </row>
    <row r="645" spans="1:3">
      <c r="A645" t="s">
        <v>75</v>
      </c>
      <c r="B645" t="s">
        <v>216</v>
      </c>
      <c r="C645" t="s">
        <v>5</v>
      </c>
    </row>
    <row r="646" spans="1:3">
      <c r="A646" t="s">
        <v>75</v>
      </c>
      <c r="B646" t="s">
        <v>217</v>
      </c>
      <c r="C646" t="s">
        <v>5</v>
      </c>
    </row>
    <row r="647" spans="1:3">
      <c r="A647" t="s">
        <v>75</v>
      </c>
      <c r="B647" t="s">
        <v>218</v>
      </c>
      <c r="C647" t="s">
        <v>5</v>
      </c>
    </row>
    <row r="648" spans="1:3">
      <c r="A648" t="s">
        <v>75</v>
      </c>
      <c r="B648" t="s">
        <v>219</v>
      </c>
      <c r="C648" t="s">
        <v>5</v>
      </c>
    </row>
    <row r="649" spans="1:3">
      <c r="A649" t="s">
        <v>75</v>
      </c>
      <c r="B649" t="s">
        <v>220</v>
      </c>
      <c r="C649" t="s">
        <v>5</v>
      </c>
    </row>
    <row r="650" spans="1:3">
      <c r="A650" t="s">
        <v>75</v>
      </c>
      <c r="B650" t="s">
        <v>221</v>
      </c>
      <c r="C650" t="s">
        <v>5</v>
      </c>
    </row>
    <row r="651" spans="1:3">
      <c r="A651" t="s">
        <v>75</v>
      </c>
      <c r="B651" t="s">
        <v>222</v>
      </c>
      <c r="C651" t="s">
        <v>5</v>
      </c>
    </row>
    <row r="652" spans="1:3">
      <c r="A652" t="s">
        <v>75</v>
      </c>
      <c r="B652" t="s">
        <v>223</v>
      </c>
      <c r="C652" t="s">
        <v>5</v>
      </c>
    </row>
    <row r="653" spans="1:3">
      <c r="A653" t="s">
        <v>75</v>
      </c>
      <c r="B653" t="s">
        <v>209</v>
      </c>
      <c r="C653" t="s">
        <v>5</v>
      </c>
    </row>
    <row r="654" spans="1:3">
      <c r="A654" t="s">
        <v>75</v>
      </c>
      <c r="B654" t="s">
        <v>224</v>
      </c>
      <c r="C654" t="s">
        <v>5</v>
      </c>
    </row>
    <row r="655" spans="1:3">
      <c r="A655" t="s">
        <v>75</v>
      </c>
      <c r="B655" t="s">
        <v>225</v>
      </c>
      <c r="C655" t="s">
        <v>5</v>
      </c>
    </row>
    <row r="656" spans="1:3">
      <c r="A656" t="s">
        <v>75</v>
      </c>
      <c r="B656" t="s">
        <v>226</v>
      </c>
      <c r="C656" t="s">
        <v>5</v>
      </c>
    </row>
    <row r="657" spans="1:3">
      <c r="A657" t="s">
        <v>75</v>
      </c>
      <c r="B657" t="s">
        <v>227</v>
      </c>
      <c r="C657" t="s">
        <v>5</v>
      </c>
    </row>
    <row r="658" spans="1:3">
      <c r="A658" t="s">
        <v>76</v>
      </c>
      <c r="B658" t="s">
        <v>213</v>
      </c>
      <c r="C658" t="s">
        <v>5</v>
      </c>
    </row>
    <row r="659" spans="1:3">
      <c r="A659" t="s">
        <v>76</v>
      </c>
      <c r="B659" t="s">
        <v>207</v>
      </c>
      <c r="C659" t="s">
        <v>5</v>
      </c>
    </row>
    <row r="660" spans="1:3">
      <c r="A660" t="s">
        <v>76</v>
      </c>
      <c r="B660" t="s">
        <v>214</v>
      </c>
      <c r="C660" t="s">
        <v>5</v>
      </c>
    </row>
    <row r="661" spans="1:3">
      <c r="A661" t="s">
        <v>76</v>
      </c>
      <c r="B661" t="s">
        <v>215</v>
      </c>
      <c r="C661" t="s">
        <v>5</v>
      </c>
    </row>
    <row r="662" spans="1:3">
      <c r="A662" t="s">
        <v>76</v>
      </c>
      <c r="B662" t="s">
        <v>216</v>
      </c>
      <c r="C662" t="s">
        <v>5</v>
      </c>
    </row>
    <row r="663" spans="1:3">
      <c r="A663" t="s">
        <v>76</v>
      </c>
      <c r="B663" t="s">
        <v>217</v>
      </c>
      <c r="C663" t="s">
        <v>5</v>
      </c>
    </row>
    <row r="664" spans="1:3">
      <c r="A664" t="s">
        <v>76</v>
      </c>
      <c r="B664" t="s">
        <v>218</v>
      </c>
      <c r="C664" t="s">
        <v>5</v>
      </c>
    </row>
    <row r="665" spans="1:3">
      <c r="A665" t="s">
        <v>76</v>
      </c>
      <c r="B665" t="s">
        <v>219</v>
      </c>
      <c r="C665" t="s">
        <v>5</v>
      </c>
    </row>
    <row r="666" spans="1:3">
      <c r="A666" t="s">
        <v>76</v>
      </c>
      <c r="B666" t="s">
        <v>220</v>
      </c>
      <c r="C666" t="s">
        <v>5</v>
      </c>
    </row>
    <row r="667" spans="1:3">
      <c r="A667" t="s">
        <v>76</v>
      </c>
      <c r="B667" t="s">
        <v>221</v>
      </c>
      <c r="C667" t="s">
        <v>5</v>
      </c>
    </row>
    <row r="668" spans="1:3">
      <c r="A668" t="s">
        <v>76</v>
      </c>
      <c r="B668" t="s">
        <v>222</v>
      </c>
      <c r="C668" t="s">
        <v>5</v>
      </c>
    </row>
    <row r="669" spans="1:3">
      <c r="A669" t="s">
        <v>76</v>
      </c>
      <c r="B669" t="s">
        <v>223</v>
      </c>
      <c r="C669" t="s">
        <v>5</v>
      </c>
    </row>
    <row r="670" spans="1:3">
      <c r="A670" t="s">
        <v>76</v>
      </c>
      <c r="B670" t="s">
        <v>209</v>
      </c>
      <c r="C670" t="s">
        <v>5</v>
      </c>
    </row>
    <row r="671" spans="1:3">
      <c r="A671" t="s">
        <v>76</v>
      </c>
      <c r="B671" t="s">
        <v>224</v>
      </c>
      <c r="C671" t="s">
        <v>5</v>
      </c>
    </row>
    <row r="672" spans="1:3">
      <c r="A672" t="s">
        <v>76</v>
      </c>
      <c r="B672" t="s">
        <v>225</v>
      </c>
      <c r="C672" t="s">
        <v>5</v>
      </c>
    </row>
    <row r="673" spans="1:3">
      <c r="A673" t="s">
        <v>76</v>
      </c>
      <c r="B673" t="s">
        <v>226</v>
      </c>
      <c r="C673" t="s">
        <v>5</v>
      </c>
    </row>
    <row r="674" spans="1:3">
      <c r="A674" t="s">
        <v>76</v>
      </c>
      <c r="B674" t="s">
        <v>227</v>
      </c>
      <c r="C674" t="s">
        <v>5</v>
      </c>
    </row>
    <row r="675" spans="1:3">
      <c r="A675" t="s">
        <v>77</v>
      </c>
      <c r="B675" t="s">
        <v>208</v>
      </c>
      <c r="C675" t="s">
        <v>5</v>
      </c>
    </row>
    <row r="676" spans="1:3">
      <c r="A676" t="s">
        <v>77</v>
      </c>
      <c r="B676" t="s">
        <v>235</v>
      </c>
      <c r="C676" t="s">
        <v>5</v>
      </c>
    </row>
    <row r="677" spans="1:3">
      <c r="A677" t="s">
        <v>77</v>
      </c>
      <c r="B677" t="s">
        <v>228</v>
      </c>
      <c r="C677" t="s">
        <v>5</v>
      </c>
    </row>
    <row r="678" spans="1:3">
      <c r="A678" t="s">
        <v>77</v>
      </c>
      <c r="B678" t="s">
        <v>206</v>
      </c>
      <c r="C678" t="s">
        <v>5</v>
      </c>
    </row>
    <row r="679" spans="1:3">
      <c r="A679" t="s">
        <v>78</v>
      </c>
      <c r="B679" t="s">
        <v>208</v>
      </c>
      <c r="C679" t="s">
        <v>5</v>
      </c>
    </row>
    <row r="680" spans="1:3">
      <c r="A680" t="s">
        <v>78</v>
      </c>
      <c r="B680" t="s">
        <v>235</v>
      </c>
      <c r="C680" t="s">
        <v>5</v>
      </c>
    </row>
    <row r="681" spans="1:3">
      <c r="A681" t="s">
        <v>78</v>
      </c>
      <c r="B681" t="s">
        <v>228</v>
      </c>
      <c r="C681" t="s">
        <v>5</v>
      </c>
    </row>
    <row r="682" spans="1:3">
      <c r="A682" t="s">
        <v>78</v>
      </c>
      <c r="B682" t="s">
        <v>206</v>
      </c>
      <c r="C682" t="s">
        <v>5</v>
      </c>
    </row>
    <row r="683" spans="1:3">
      <c r="A683" t="s">
        <v>78</v>
      </c>
      <c r="B683" t="s">
        <v>229</v>
      </c>
      <c r="C683" t="s">
        <v>5</v>
      </c>
    </row>
    <row r="684" spans="1:3">
      <c r="A684" t="s">
        <v>78</v>
      </c>
      <c r="B684" t="s">
        <v>230</v>
      </c>
      <c r="C684" t="s">
        <v>5</v>
      </c>
    </row>
    <row r="685" spans="1:3">
      <c r="A685" t="s">
        <v>78</v>
      </c>
      <c r="B685" t="s">
        <v>237</v>
      </c>
      <c r="C685" t="s">
        <v>5</v>
      </c>
    </row>
    <row r="686" spans="1:3">
      <c r="A686" t="s">
        <v>79</v>
      </c>
      <c r="B686" t="s">
        <v>213</v>
      </c>
      <c r="C686" t="s">
        <v>5</v>
      </c>
    </row>
    <row r="687" spans="1:3">
      <c r="A687" t="s">
        <v>79</v>
      </c>
      <c r="B687" t="s">
        <v>207</v>
      </c>
      <c r="C687" t="s">
        <v>5</v>
      </c>
    </row>
    <row r="688" spans="1:3">
      <c r="A688" t="s">
        <v>79</v>
      </c>
      <c r="B688" t="s">
        <v>214</v>
      </c>
      <c r="C688" t="s">
        <v>5</v>
      </c>
    </row>
    <row r="689" spans="1:3">
      <c r="A689" t="s">
        <v>79</v>
      </c>
      <c r="B689" t="s">
        <v>215</v>
      </c>
      <c r="C689" t="s">
        <v>5</v>
      </c>
    </row>
    <row r="690" spans="1:3">
      <c r="A690" t="s">
        <v>79</v>
      </c>
      <c r="B690" t="s">
        <v>216</v>
      </c>
      <c r="C690" t="s">
        <v>5</v>
      </c>
    </row>
    <row r="691" spans="1:3">
      <c r="A691" t="s">
        <v>79</v>
      </c>
      <c r="B691" t="s">
        <v>217</v>
      </c>
      <c r="C691" t="s">
        <v>5</v>
      </c>
    </row>
    <row r="692" spans="1:3">
      <c r="A692" t="s">
        <v>79</v>
      </c>
      <c r="B692" t="s">
        <v>218</v>
      </c>
      <c r="C692" t="s">
        <v>5</v>
      </c>
    </row>
    <row r="693" spans="1:3">
      <c r="A693" t="s">
        <v>79</v>
      </c>
      <c r="B693" t="s">
        <v>219</v>
      </c>
      <c r="C693" t="s">
        <v>5</v>
      </c>
    </row>
    <row r="694" spans="1:3">
      <c r="A694" t="s">
        <v>79</v>
      </c>
      <c r="B694" t="s">
        <v>220</v>
      </c>
      <c r="C694" t="s">
        <v>5</v>
      </c>
    </row>
    <row r="695" spans="1:3">
      <c r="A695" t="s">
        <v>79</v>
      </c>
      <c r="B695" t="s">
        <v>221</v>
      </c>
      <c r="C695" t="s">
        <v>5</v>
      </c>
    </row>
    <row r="696" spans="1:3">
      <c r="A696" t="s">
        <v>79</v>
      </c>
      <c r="B696" t="s">
        <v>222</v>
      </c>
      <c r="C696" t="s">
        <v>5</v>
      </c>
    </row>
    <row r="697" spans="1:3">
      <c r="A697" t="s">
        <v>79</v>
      </c>
      <c r="B697" t="s">
        <v>223</v>
      </c>
      <c r="C697" t="s">
        <v>5</v>
      </c>
    </row>
    <row r="698" spans="1:3">
      <c r="A698" t="s">
        <v>79</v>
      </c>
      <c r="B698" t="s">
        <v>209</v>
      </c>
      <c r="C698" t="s">
        <v>5</v>
      </c>
    </row>
    <row r="699" spans="1:3">
      <c r="A699" t="s">
        <v>79</v>
      </c>
      <c r="B699" t="s">
        <v>224</v>
      </c>
      <c r="C699" t="s">
        <v>5</v>
      </c>
    </row>
    <row r="700" spans="1:3">
      <c r="A700" t="s">
        <v>79</v>
      </c>
      <c r="B700" t="s">
        <v>225</v>
      </c>
      <c r="C700" t="s">
        <v>5</v>
      </c>
    </row>
    <row r="701" spans="1:3">
      <c r="A701" t="s">
        <v>79</v>
      </c>
      <c r="B701" t="s">
        <v>226</v>
      </c>
      <c r="C701" t="s">
        <v>5</v>
      </c>
    </row>
    <row r="702" spans="1:3">
      <c r="A702" t="s">
        <v>79</v>
      </c>
      <c r="B702" t="s">
        <v>227</v>
      </c>
      <c r="C702" t="s">
        <v>5</v>
      </c>
    </row>
    <row r="703" spans="1:3">
      <c r="A703" t="s">
        <v>80</v>
      </c>
      <c r="B703" t="s">
        <v>213</v>
      </c>
      <c r="C703" t="s">
        <v>5</v>
      </c>
    </row>
    <row r="704" spans="1:3">
      <c r="A704" t="s">
        <v>80</v>
      </c>
      <c r="B704" t="s">
        <v>207</v>
      </c>
      <c r="C704" t="s">
        <v>5</v>
      </c>
    </row>
    <row r="705" spans="1:3">
      <c r="A705" t="s">
        <v>80</v>
      </c>
      <c r="B705" t="s">
        <v>214</v>
      </c>
      <c r="C705" t="s">
        <v>5</v>
      </c>
    </row>
    <row r="706" spans="1:3">
      <c r="A706" t="s">
        <v>80</v>
      </c>
      <c r="B706" t="s">
        <v>215</v>
      </c>
      <c r="C706" t="s">
        <v>5</v>
      </c>
    </row>
    <row r="707" spans="1:3">
      <c r="A707" t="s">
        <v>80</v>
      </c>
      <c r="B707" t="s">
        <v>216</v>
      </c>
      <c r="C707" t="s">
        <v>5</v>
      </c>
    </row>
    <row r="708" spans="1:3">
      <c r="A708" t="s">
        <v>80</v>
      </c>
      <c r="B708" t="s">
        <v>217</v>
      </c>
      <c r="C708" t="s">
        <v>5</v>
      </c>
    </row>
    <row r="709" spans="1:3">
      <c r="A709" t="s">
        <v>80</v>
      </c>
      <c r="B709" t="s">
        <v>218</v>
      </c>
      <c r="C709" t="s">
        <v>5</v>
      </c>
    </row>
    <row r="710" spans="1:3">
      <c r="A710" t="s">
        <v>80</v>
      </c>
      <c r="B710" t="s">
        <v>219</v>
      </c>
      <c r="C710" t="s">
        <v>5</v>
      </c>
    </row>
    <row r="711" spans="1:3">
      <c r="A711" t="s">
        <v>80</v>
      </c>
      <c r="B711" t="s">
        <v>220</v>
      </c>
      <c r="C711" t="s">
        <v>5</v>
      </c>
    </row>
    <row r="712" spans="1:3">
      <c r="A712" t="s">
        <v>80</v>
      </c>
      <c r="B712" t="s">
        <v>221</v>
      </c>
      <c r="C712" t="s">
        <v>5</v>
      </c>
    </row>
    <row r="713" spans="1:3">
      <c r="A713" t="s">
        <v>80</v>
      </c>
      <c r="B713" t="s">
        <v>222</v>
      </c>
      <c r="C713" t="s">
        <v>5</v>
      </c>
    </row>
    <row r="714" spans="1:3">
      <c r="A714" t="s">
        <v>80</v>
      </c>
      <c r="B714" t="s">
        <v>223</v>
      </c>
      <c r="C714" t="s">
        <v>5</v>
      </c>
    </row>
    <row r="715" spans="1:3">
      <c r="A715" t="s">
        <v>80</v>
      </c>
      <c r="B715" t="s">
        <v>209</v>
      </c>
      <c r="C715" t="s">
        <v>5</v>
      </c>
    </row>
    <row r="716" spans="1:3">
      <c r="A716" t="s">
        <v>80</v>
      </c>
      <c r="B716" t="s">
        <v>224</v>
      </c>
      <c r="C716" t="s">
        <v>5</v>
      </c>
    </row>
    <row r="717" spans="1:3">
      <c r="A717" t="s">
        <v>80</v>
      </c>
      <c r="B717" t="s">
        <v>225</v>
      </c>
      <c r="C717" t="s">
        <v>5</v>
      </c>
    </row>
    <row r="718" spans="1:3">
      <c r="A718" t="s">
        <v>80</v>
      </c>
      <c r="B718" t="s">
        <v>226</v>
      </c>
      <c r="C718" t="s">
        <v>5</v>
      </c>
    </row>
    <row r="719" spans="1:3">
      <c r="A719" t="s">
        <v>80</v>
      </c>
      <c r="B719" t="s">
        <v>227</v>
      </c>
      <c r="C719" t="s">
        <v>5</v>
      </c>
    </row>
    <row r="720" spans="1:3">
      <c r="A720" t="s">
        <v>80</v>
      </c>
      <c r="B720" t="s">
        <v>244</v>
      </c>
      <c r="C720" t="s">
        <v>245</v>
      </c>
    </row>
    <row r="721" spans="1:3">
      <c r="A721" t="s">
        <v>81</v>
      </c>
      <c r="B721" t="s">
        <v>244</v>
      </c>
      <c r="C721" t="s">
        <v>245</v>
      </c>
    </row>
    <row r="722" spans="1:3">
      <c r="A722" t="s">
        <v>82</v>
      </c>
      <c r="B722" t="s">
        <v>213</v>
      </c>
      <c r="C722" t="s">
        <v>5</v>
      </c>
    </row>
    <row r="723" spans="1:3">
      <c r="A723" t="s">
        <v>82</v>
      </c>
      <c r="B723" t="s">
        <v>207</v>
      </c>
      <c r="C723" t="s">
        <v>5</v>
      </c>
    </row>
    <row r="724" spans="1:3">
      <c r="A724" t="s">
        <v>82</v>
      </c>
      <c r="B724" t="s">
        <v>214</v>
      </c>
      <c r="C724" t="s">
        <v>5</v>
      </c>
    </row>
    <row r="725" spans="1:3">
      <c r="A725" t="s">
        <v>82</v>
      </c>
      <c r="B725" t="s">
        <v>215</v>
      </c>
      <c r="C725" t="s">
        <v>5</v>
      </c>
    </row>
    <row r="726" spans="1:3">
      <c r="A726" t="s">
        <v>82</v>
      </c>
      <c r="B726" t="s">
        <v>216</v>
      </c>
      <c r="C726" t="s">
        <v>5</v>
      </c>
    </row>
    <row r="727" spans="1:3">
      <c r="A727" t="s">
        <v>82</v>
      </c>
      <c r="B727" t="s">
        <v>217</v>
      </c>
      <c r="C727" t="s">
        <v>5</v>
      </c>
    </row>
    <row r="728" spans="1:3">
      <c r="A728" t="s">
        <v>82</v>
      </c>
      <c r="B728" t="s">
        <v>218</v>
      </c>
      <c r="C728" t="s">
        <v>5</v>
      </c>
    </row>
    <row r="729" spans="1:3">
      <c r="A729" t="s">
        <v>82</v>
      </c>
      <c r="B729" t="s">
        <v>219</v>
      </c>
      <c r="C729" t="s">
        <v>5</v>
      </c>
    </row>
    <row r="730" spans="1:3">
      <c r="A730" t="s">
        <v>82</v>
      </c>
      <c r="B730" t="s">
        <v>220</v>
      </c>
      <c r="C730" t="s">
        <v>5</v>
      </c>
    </row>
    <row r="731" spans="1:3">
      <c r="A731" t="s">
        <v>82</v>
      </c>
      <c r="B731" t="s">
        <v>221</v>
      </c>
      <c r="C731" t="s">
        <v>5</v>
      </c>
    </row>
    <row r="732" spans="1:3">
      <c r="A732" t="s">
        <v>82</v>
      </c>
      <c r="B732" t="s">
        <v>222</v>
      </c>
      <c r="C732" t="s">
        <v>5</v>
      </c>
    </row>
    <row r="733" spans="1:3">
      <c r="A733" t="s">
        <v>82</v>
      </c>
      <c r="B733" t="s">
        <v>223</v>
      </c>
      <c r="C733" t="s">
        <v>5</v>
      </c>
    </row>
    <row r="734" spans="1:3">
      <c r="A734" t="s">
        <v>82</v>
      </c>
      <c r="B734" t="s">
        <v>264</v>
      </c>
      <c r="C734" t="s">
        <v>5</v>
      </c>
    </row>
    <row r="735" spans="1:3">
      <c r="A735" t="s">
        <v>82</v>
      </c>
      <c r="B735" t="s">
        <v>209</v>
      </c>
      <c r="C735" t="s">
        <v>5</v>
      </c>
    </row>
    <row r="736" spans="1:3">
      <c r="A736" t="s">
        <v>82</v>
      </c>
      <c r="B736" t="s">
        <v>224</v>
      </c>
      <c r="C736" t="s">
        <v>5</v>
      </c>
    </row>
    <row r="737" spans="1:3">
      <c r="A737" t="s">
        <v>82</v>
      </c>
      <c r="B737" t="s">
        <v>225</v>
      </c>
      <c r="C737" t="s">
        <v>5</v>
      </c>
    </row>
    <row r="738" spans="1:3">
      <c r="A738" t="s">
        <v>82</v>
      </c>
      <c r="B738" t="s">
        <v>226</v>
      </c>
      <c r="C738" t="s">
        <v>5</v>
      </c>
    </row>
    <row r="739" spans="1:3">
      <c r="A739" t="s">
        <v>82</v>
      </c>
      <c r="B739" t="s">
        <v>227</v>
      </c>
      <c r="C739" t="s">
        <v>5</v>
      </c>
    </row>
    <row r="740" spans="1:3">
      <c r="A740" t="s">
        <v>83</v>
      </c>
      <c r="B740" t="s">
        <v>213</v>
      </c>
      <c r="C740" t="s">
        <v>5</v>
      </c>
    </row>
    <row r="741" spans="1:3">
      <c r="A741" t="s">
        <v>83</v>
      </c>
      <c r="B741" t="s">
        <v>207</v>
      </c>
      <c r="C741" t="s">
        <v>5</v>
      </c>
    </row>
    <row r="742" spans="1:3">
      <c r="A742" t="s">
        <v>83</v>
      </c>
      <c r="B742" t="s">
        <v>214</v>
      </c>
      <c r="C742" t="s">
        <v>5</v>
      </c>
    </row>
    <row r="743" spans="1:3">
      <c r="A743" t="s">
        <v>83</v>
      </c>
      <c r="B743" t="s">
        <v>215</v>
      </c>
      <c r="C743" t="s">
        <v>5</v>
      </c>
    </row>
    <row r="744" spans="1:3">
      <c r="A744" t="s">
        <v>83</v>
      </c>
      <c r="B744" t="s">
        <v>216</v>
      </c>
      <c r="C744" t="s">
        <v>5</v>
      </c>
    </row>
    <row r="745" spans="1:3">
      <c r="A745" t="s">
        <v>83</v>
      </c>
      <c r="B745" t="s">
        <v>217</v>
      </c>
      <c r="C745" t="s">
        <v>5</v>
      </c>
    </row>
    <row r="746" spans="1:3">
      <c r="A746" t="s">
        <v>83</v>
      </c>
      <c r="B746" t="s">
        <v>218</v>
      </c>
      <c r="C746" t="s">
        <v>5</v>
      </c>
    </row>
    <row r="747" spans="1:3">
      <c r="A747" t="s">
        <v>83</v>
      </c>
      <c r="B747" t="s">
        <v>219</v>
      </c>
      <c r="C747" t="s">
        <v>5</v>
      </c>
    </row>
    <row r="748" spans="1:3">
      <c r="A748" t="s">
        <v>83</v>
      </c>
      <c r="B748" t="s">
        <v>220</v>
      </c>
      <c r="C748" t="s">
        <v>5</v>
      </c>
    </row>
    <row r="749" spans="1:3">
      <c r="A749" t="s">
        <v>83</v>
      </c>
      <c r="B749" t="s">
        <v>221</v>
      </c>
      <c r="C749" t="s">
        <v>5</v>
      </c>
    </row>
    <row r="750" spans="1:3">
      <c r="A750" t="s">
        <v>83</v>
      </c>
      <c r="B750" t="s">
        <v>222</v>
      </c>
      <c r="C750" t="s">
        <v>5</v>
      </c>
    </row>
    <row r="751" spans="1:3">
      <c r="A751" t="s">
        <v>83</v>
      </c>
      <c r="B751" t="s">
        <v>223</v>
      </c>
      <c r="C751" t="s">
        <v>5</v>
      </c>
    </row>
    <row r="752" spans="1:3">
      <c r="A752" t="s">
        <v>83</v>
      </c>
      <c r="B752" t="s">
        <v>264</v>
      </c>
      <c r="C752" t="s">
        <v>5</v>
      </c>
    </row>
    <row r="753" spans="1:3">
      <c r="A753" t="s">
        <v>83</v>
      </c>
      <c r="B753" t="s">
        <v>209</v>
      </c>
      <c r="C753" t="s">
        <v>5</v>
      </c>
    </row>
    <row r="754" spans="1:3">
      <c r="A754" t="s">
        <v>83</v>
      </c>
      <c r="B754" t="s">
        <v>224</v>
      </c>
      <c r="C754" t="s">
        <v>5</v>
      </c>
    </row>
    <row r="755" spans="1:3">
      <c r="A755" t="s">
        <v>83</v>
      </c>
      <c r="B755" t="s">
        <v>225</v>
      </c>
      <c r="C755" t="s">
        <v>5</v>
      </c>
    </row>
    <row r="756" spans="1:3">
      <c r="A756" t="s">
        <v>83</v>
      </c>
      <c r="B756" t="s">
        <v>226</v>
      </c>
      <c r="C756" t="s">
        <v>5</v>
      </c>
    </row>
    <row r="757" spans="1:3">
      <c r="A757" t="s">
        <v>83</v>
      </c>
      <c r="B757" t="s">
        <v>227</v>
      </c>
      <c r="C757" t="s">
        <v>5</v>
      </c>
    </row>
    <row r="758" spans="1:3">
      <c r="A758" t="s">
        <v>84</v>
      </c>
      <c r="B758" t="s">
        <v>213</v>
      </c>
      <c r="C758" t="s">
        <v>5</v>
      </c>
    </row>
    <row r="759" spans="1:3">
      <c r="A759" t="s">
        <v>84</v>
      </c>
      <c r="B759" t="s">
        <v>207</v>
      </c>
      <c r="C759" t="s">
        <v>5</v>
      </c>
    </row>
    <row r="760" spans="1:3">
      <c r="A760" t="s">
        <v>84</v>
      </c>
      <c r="B760" t="s">
        <v>214</v>
      </c>
      <c r="C760" t="s">
        <v>5</v>
      </c>
    </row>
    <row r="761" spans="1:3">
      <c r="A761" t="s">
        <v>84</v>
      </c>
      <c r="B761" t="s">
        <v>215</v>
      </c>
      <c r="C761" t="s">
        <v>5</v>
      </c>
    </row>
    <row r="762" spans="1:3">
      <c r="A762" t="s">
        <v>84</v>
      </c>
      <c r="B762" t="s">
        <v>216</v>
      </c>
      <c r="C762" t="s">
        <v>5</v>
      </c>
    </row>
    <row r="763" spans="1:3">
      <c r="A763" t="s">
        <v>84</v>
      </c>
      <c r="B763" t="s">
        <v>217</v>
      </c>
      <c r="C763" t="s">
        <v>5</v>
      </c>
    </row>
    <row r="764" spans="1:3">
      <c r="A764" t="s">
        <v>84</v>
      </c>
      <c r="B764" t="s">
        <v>218</v>
      </c>
      <c r="C764" t="s">
        <v>5</v>
      </c>
    </row>
    <row r="765" spans="1:3">
      <c r="A765" t="s">
        <v>84</v>
      </c>
      <c r="B765" t="s">
        <v>219</v>
      </c>
      <c r="C765" t="s">
        <v>5</v>
      </c>
    </row>
    <row r="766" spans="1:3">
      <c r="A766" t="s">
        <v>84</v>
      </c>
      <c r="B766" t="s">
        <v>220</v>
      </c>
      <c r="C766" t="s">
        <v>5</v>
      </c>
    </row>
    <row r="767" spans="1:3">
      <c r="A767" t="s">
        <v>84</v>
      </c>
      <c r="B767" t="s">
        <v>221</v>
      </c>
      <c r="C767" t="s">
        <v>5</v>
      </c>
    </row>
    <row r="768" spans="1:3">
      <c r="A768" t="s">
        <v>84</v>
      </c>
      <c r="B768" t="s">
        <v>222</v>
      </c>
      <c r="C768" t="s">
        <v>5</v>
      </c>
    </row>
    <row r="769" spans="1:3">
      <c r="A769" t="s">
        <v>84</v>
      </c>
      <c r="B769" t="s">
        <v>223</v>
      </c>
      <c r="C769" t="s">
        <v>5</v>
      </c>
    </row>
    <row r="770" spans="1:3">
      <c r="A770" t="s">
        <v>84</v>
      </c>
      <c r="B770" t="s">
        <v>209</v>
      </c>
      <c r="C770" t="s">
        <v>5</v>
      </c>
    </row>
    <row r="771" spans="1:3">
      <c r="A771" t="s">
        <v>84</v>
      </c>
      <c r="B771" t="s">
        <v>224</v>
      </c>
      <c r="C771" t="s">
        <v>5</v>
      </c>
    </row>
    <row r="772" spans="1:3">
      <c r="A772" t="s">
        <v>84</v>
      </c>
      <c r="B772" t="s">
        <v>225</v>
      </c>
      <c r="C772" t="s">
        <v>5</v>
      </c>
    </row>
    <row r="773" spans="1:3">
      <c r="A773" t="s">
        <v>84</v>
      </c>
      <c r="B773" t="s">
        <v>226</v>
      </c>
      <c r="C773" t="s">
        <v>5</v>
      </c>
    </row>
    <row r="774" spans="1:3">
      <c r="A774" t="s">
        <v>84</v>
      </c>
      <c r="B774" t="s">
        <v>227</v>
      </c>
      <c r="C774" t="s">
        <v>5</v>
      </c>
    </row>
    <row r="775" spans="1:3">
      <c r="A775" t="s">
        <v>85</v>
      </c>
      <c r="B775" t="s">
        <v>213</v>
      </c>
      <c r="C775" t="s">
        <v>5</v>
      </c>
    </row>
    <row r="776" spans="1:3">
      <c r="A776" t="s">
        <v>85</v>
      </c>
      <c r="B776" t="s">
        <v>207</v>
      </c>
      <c r="C776" t="s">
        <v>5</v>
      </c>
    </row>
    <row r="777" spans="1:3">
      <c r="A777" t="s">
        <v>85</v>
      </c>
      <c r="B777" t="s">
        <v>214</v>
      </c>
      <c r="C777" t="s">
        <v>5</v>
      </c>
    </row>
    <row r="778" spans="1:3">
      <c r="A778" t="s">
        <v>85</v>
      </c>
      <c r="B778" t="s">
        <v>215</v>
      </c>
      <c r="C778" t="s">
        <v>5</v>
      </c>
    </row>
    <row r="779" spans="1:3">
      <c r="A779" t="s">
        <v>85</v>
      </c>
      <c r="B779" t="s">
        <v>216</v>
      </c>
      <c r="C779" t="s">
        <v>5</v>
      </c>
    </row>
    <row r="780" spans="1:3">
      <c r="A780" t="s">
        <v>85</v>
      </c>
      <c r="B780" t="s">
        <v>217</v>
      </c>
      <c r="C780" t="s">
        <v>5</v>
      </c>
    </row>
    <row r="781" spans="1:3">
      <c r="A781" t="s">
        <v>85</v>
      </c>
      <c r="B781" t="s">
        <v>218</v>
      </c>
      <c r="C781" t="s">
        <v>5</v>
      </c>
    </row>
    <row r="782" spans="1:3">
      <c r="A782" t="s">
        <v>85</v>
      </c>
      <c r="B782" t="s">
        <v>219</v>
      </c>
      <c r="C782" t="s">
        <v>5</v>
      </c>
    </row>
    <row r="783" spans="1:3">
      <c r="A783" t="s">
        <v>85</v>
      </c>
      <c r="B783" t="s">
        <v>220</v>
      </c>
      <c r="C783" t="s">
        <v>5</v>
      </c>
    </row>
    <row r="784" spans="1:3">
      <c r="A784" t="s">
        <v>85</v>
      </c>
      <c r="B784" t="s">
        <v>221</v>
      </c>
      <c r="C784" t="s">
        <v>5</v>
      </c>
    </row>
    <row r="785" spans="1:3">
      <c r="A785" t="s">
        <v>85</v>
      </c>
      <c r="B785" t="s">
        <v>222</v>
      </c>
      <c r="C785" t="s">
        <v>5</v>
      </c>
    </row>
    <row r="786" spans="1:3">
      <c r="A786" t="s">
        <v>85</v>
      </c>
      <c r="B786" t="s">
        <v>223</v>
      </c>
      <c r="C786" t="s">
        <v>5</v>
      </c>
    </row>
    <row r="787" spans="1:3">
      <c r="A787" t="s">
        <v>85</v>
      </c>
      <c r="B787" t="s">
        <v>209</v>
      </c>
      <c r="C787" t="s">
        <v>5</v>
      </c>
    </row>
    <row r="788" spans="1:3">
      <c r="A788" t="s">
        <v>85</v>
      </c>
      <c r="B788" t="s">
        <v>224</v>
      </c>
      <c r="C788" t="s">
        <v>5</v>
      </c>
    </row>
    <row r="789" spans="1:3">
      <c r="A789" t="s">
        <v>85</v>
      </c>
      <c r="B789" t="s">
        <v>225</v>
      </c>
      <c r="C789" t="s">
        <v>5</v>
      </c>
    </row>
    <row r="790" spans="1:3">
      <c r="A790" t="s">
        <v>85</v>
      </c>
      <c r="B790" t="s">
        <v>226</v>
      </c>
      <c r="C790" t="s">
        <v>5</v>
      </c>
    </row>
    <row r="791" spans="1:3">
      <c r="A791" t="s">
        <v>85</v>
      </c>
      <c r="B791" t="s">
        <v>227</v>
      </c>
      <c r="C791" t="s">
        <v>5</v>
      </c>
    </row>
    <row r="792" spans="1:3">
      <c r="A792" t="s">
        <v>86</v>
      </c>
      <c r="B792" t="s">
        <v>213</v>
      </c>
      <c r="C792" t="s">
        <v>5</v>
      </c>
    </row>
    <row r="793" spans="1:3">
      <c r="A793" t="s">
        <v>86</v>
      </c>
      <c r="B793" t="s">
        <v>207</v>
      </c>
      <c r="C793" t="s">
        <v>5</v>
      </c>
    </row>
    <row r="794" spans="1:3">
      <c r="A794" t="s">
        <v>86</v>
      </c>
      <c r="B794" t="s">
        <v>214</v>
      </c>
      <c r="C794" t="s">
        <v>5</v>
      </c>
    </row>
    <row r="795" spans="1:3">
      <c r="A795" t="s">
        <v>86</v>
      </c>
      <c r="B795" t="s">
        <v>215</v>
      </c>
      <c r="C795" t="s">
        <v>5</v>
      </c>
    </row>
    <row r="796" spans="1:3">
      <c r="A796" t="s">
        <v>86</v>
      </c>
      <c r="B796" t="s">
        <v>216</v>
      </c>
      <c r="C796" t="s">
        <v>5</v>
      </c>
    </row>
    <row r="797" spans="1:3">
      <c r="A797" t="s">
        <v>86</v>
      </c>
      <c r="B797" t="s">
        <v>217</v>
      </c>
      <c r="C797" t="s">
        <v>5</v>
      </c>
    </row>
    <row r="798" spans="1:3">
      <c r="A798" t="s">
        <v>86</v>
      </c>
      <c r="B798" t="s">
        <v>218</v>
      </c>
      <c r="C798" t="s">
        <v>5</v>
      </c>
    </row>
    <row r="799" spans="1:3">
      <c r="A799" t="s">
        <v>86</v>
      </c>
      <c r="B799" t="s">
        <v>219</v>
      </c>
      <c r="C799" t="s">
        <v>5</v>
      </c>
    </row>
    <row r="800" spans="1:3">
      <c r="A800" t="s">
        <v>86</v>
      </c>
      <c r="B800" t="s">
        <v>220</v>
      </c>
      <c r="C800" t="s">
        <v>5</v>
      </c>
    </row>
    <row r="801" spans="1:3">
      <c r="A801" t="s">
        <v>86</v>
      </c>
      <c r="B801" t="s">
        <v>221</v>
      </c>
      <c r="C801" t="s">
        <v>5</v>
      </c>
    </row>
    <row r="802" spans="1:3">
      <c r="A802" t="s">
        <v>86</v>
      </c>
      <c r="B802" t="s">
        <v>222</v>
      </c>
      <c r="C802" t="s">
        <v>5</v>
      </c>
    </row>
    <row r="803" spans="1:3">
      <c r="A803" t="s">
        <v>86</v>
      </c>
      <c r="B803" t="s">
        <v>223</v>
      </c>
      <c r="C803" t="s">
        <v>5</v>
      </c>
    </row>
    <row r="804" spans="1:3">
      <c r="A804" t="s">
        <v>86</v>
      </c>
      <c r="B804" t="s">
        <v>264</v>
      </c>
      <c r="C804" t="s">
        <v>5</v>
      </c>
    </row>
    <row r="805" spans="1:3">
      <c r="A805" t="s">
        <v>86</v>
      </c>
      <c r="B805" t="s">
        <v>209</v>
      </c>
      <c r="C805" t="s">
        <v>5</v>
      </c>
    </row>
    <row r="806" spans="1:3">
      <c r="A806" t="s">
        <v>86</v>
      </c>
      <c r="B806" t="s">
        <v>224</v>
      </c>
      <c r="C806" t="s">
        <v>5</v>
      </c>
    </row>
    <row r="807" spans="1:3">
      <c r="A807" t="s">
        <v>86</v>
      </c>
      <c r="B807" t="s">
        <v>225</v>
      </c>
      <c r="C807" t="s">
        <v>5</v>
      </c>
    </row>
    <row r="808" spans="1:3">
      <c r="A808" t="s">
        <v>86</v>
      </c>
      <c r="B808" t="s">
        <v>226</v>
      </c>
      <c r="C808" t="s">
        <v>5</v>
      </c>
    </row>
    <row r="809" spans="1:3">
      <c r="A809" t="s">
        <v>86</v>
      </c>
      <c r="B809" t="s">
        <v>227</v>
      </c>
      <c r="C809" t="s">
        <v>5</v>
      </c>
    </row>
    <row r="810" spans="1:3">
      <c r="A810" t="s">
        <v>87</v>
      </c>
      <c r="B810" t="s">
        <v>213</v>
      </c>
      <c r="C810" t="s">
        <v>5</v>
      </c>
    </row>
    <row r="811" spans="1:3">
      <c r="A811" t="s">
        <v>87</v>
      </c>
      <c r="B811" t="s">
        <v>207</v>
      </c>
      <c r="C811" t="s">
        <v>5</v>
      </c>
    </row>
    <row r="812" spans="1:3">
      <c r="A812" t="s">
        <v>87</v>
      </c>
      <c r="B812" t="s">
        <v>214</v>
      </c>
      <c r="C812" t="s">
        <v>5</v>
      </c>
    </row>
    <row r="813" spans="1:3">
      <c r="A813" t="s">
        <v>87</v>
      </c>
      <c r="B813" t="s">
        <v>215</v>
      </c>
      <c r="C813" t="s">
        <v>5</v>
      </c>
    </row>
    <row r="814" spans="1:3">
      <c r="A814" t="s">
        <v>87</v>
      </c>
      <c r="B814" t="s">
        <v>216</v>
      </c>
      <c r="C814" t="s">
        <v>5</v>
      </c>
    </row>
    <row r="815" spans="1:3">
      <c r="A815" t="s">
        <v>87</v>
      </c>
      <c r="B815" t="s">
        <v>217</v>
      </c>
      <c r="C815" t="s">
        <v>5</v>
      </c>
    </row>
    <row r="816" spans="1:3">
      <c r="A816" t="s">
        <v>87</v>
      </c>
      <c r="B816" t="s">
        <v>218</v>
      </c>
      <c r="C816" t="s">
        <v>5</v>
      </c>
    </row>
    <row r="817" spans="1:3">
      <c r="A817" t="s">
        <v>87</v>
      </c>
      <c r="B817" t="s">
        <v>219</v>
      </c>
      <c r="C817" t="s">
        <v>5</v>
      </c>
    </row>
    <row r="818" spans="1:3">
      <c r="A818" t="s">
        <v>87</v>
      </c>
      <c r="B818" t="s">
        <v>220</v>
      </c>
      <c r="C818" t="s">
        <v>5</v>
      </c>
    </row>
    <row r="819" spans="1:3">
      <c r="A819" t="s">
        <v>87</v>
      </c>
      <c r="B819" t="s">
        <v>221</v>
      </c>
      <c r="C819" t="s">
        <v>5</v>
      </c>
    </row>
    <row r="820" spans="1:3">
      <c r="A820" t="s">
        <v>87</v>
      </c>
      <c r="B820" t="s">
        <v>222</v>
      </c>
      <c r="C820" t="s">
        <v>5</v>
      </c>
    </row>
    <row r="821" spans="1:3">
      <c r="A821" t="s">
        <v>87</v>
      </c>
      <c r="B821" t="s">
        <v>223</v>
      </c>
      <c r="C821" t="s">
        <v>5</v>
      </c>
    </row>
    <row r="822" spans="1:3">
      <c r="A822" t="s">
        <v>87</v>
      </c>
      <c r="B822" t="s">
        <v>209</v>
      </c>
      <c r="C822" t="s">
        <v>5</v>
      </c>
    </row>
    <row r="823" spans="1:3">
      <c r="A823" t="s">
        <v>87</v>
      </c>
      <c r="B823" t="s">
        <v>224</v>
      </c>
      <c r="C823" t="s">
        <v>5</v>
      </c>
    </row>
    <row r="824" spans="1:3">
      <c r="A824" t="s">
        <v>87</v>
      </c>
      <c r="B824" t="s">
        <v>225</v>
      </c>
      <c r="C824" t="s">
        <v>5</v>
      </c>
    </row>
    <row r="825" spans="1:3">
      <c r="A825" t="s">
        <v>87</v>
      </c>
      <c r="B825" t="s">
        <v>226</v>
      </c>
      <c r="C825" t="s">
        <v>5</v>
      </c>
    </row>
    <row r="826" spans="1:3">
      <c r="A826" t="s">
        <v>87</v>
      </c>
      <c r="B826" t="s">
        <v>227</v>
      </c>
      <c r="C826" t="s">
        <v>5</v>
      </c>
    </row>
    <row r="827" spans="1:3">
      <c r="A827" t="s">
        <v>88</v>
      </c>
      <c r="B827" t="s">
        <v>213</v>
      </c>
      <c r="C827" t="s">
        <v>5</v>
      </c>
    </row>
    <row r="828" spans="1:3">
      <c r="A828" t="s">
        <v>88</v>
      </c>
      <c r="B828" t="s">
        <v>207</v>
      </c>
      <c r="C828" t="s">
        <v>5</v>
      </c>
    </row>
    <row r="829" spans="1:3">
      <c r="A829" t="s">
        <v>88</v>
      </c>
      <c r="B829" t="s">
        <v>214</v>
      </c>
      <c r="C829" t="s">
        <v>5</v>
      </c>
    </row>
    <row r="830" spans="1:3">
      <c r="A830" t="s">
        <v>88</v>
      </c>
      <c r="B830" t="s">
        <v>215</v>
      </c>
      <c r="C830" t="s">
        <v>5</v>
      </c>
    </row>
    <row r="831" spans="1:3">
      <c r="A831" t="s">
        <v>88</v>
      </c>
      <c r="B831" t="s">
        <v>216</v>
      </c>
      <c r="C831" t="s">
        <v>5</v>
      </c>
    </row>
    <row r="832" spans="1:3">
      <c r="A832" t="s">
        <v>88</v>
      </c>
      <c r="B832" t="s">
        <v>217</v>
      </c>
      <c r="C832" t="s">
        <v>5</v>
      </c>
    </row>
    <row r="833" spans="1:3">
      <c r="A833" t="s">
        <v>88</v>
      </c>
      <c r="B833" t="s">
        <v>218</v>
      </c>
      <c r="C833" t="s">
        <v>5</v>
      </c>
    </row>
    <row r="834" spans="1:3">
      <c r="A834" t="s">
        <v>88</v>
      </c>
      <c r="B834" t="s">
        <v>219</v>
      </c>
      <c r="C834" t="s">
        <v>5</v>
      </c>
    </row>
    <row r="835" spans="1:3">
      <c r="A835" t="s">
        <v>88</v>
      </c>
      <c r="B835" t="s">
        <v>220</v>
      </c>
      <c r="C835" t="s">
        <v>5</v>
      </c>
    </row>
    <row r="836" spans="1:3">
      <c r="A836" t="s">
        <v>88</v>
      </c>
      <c r="B836" t="s">
        <v>221</v>
      </c>
      <c r="C836" t="s">
        <v>5</v>
      </c>
    </row>
    <row r="837" spans="1:3">
      <c r="A837" t="s">
        <v>88</v>
      </c>
      <c r="B837" t="s">
        <v>222</v>
      </c>
      <c r="C837" t="s">
        <v>5</v>
      </c>
    </row>
    <row r="838" spans="1:3">
      <c r="A838" t="s">
        <v>88</v>
      </c>
      <c r="B838" t="s">
        <v>223</v>
      </c>
      <c r="C838" t="s">
        <v>5</v>
      </c>
    </row>
    <row r="839" spans="1:3">
      <c r="A839" t="s">
        <v>88</v>
      </c>
      <c r="B839" t="s">
        <v>209</v>
      </c>
      <c r="C839" t="s">
        <v>5</v>
      </c>
    </row>
    <row r="840" spans="1:3">
      <c r="A840" t="s">
        <v>88</v>
      </c>
      <c r="B840" t="s">
        <v>224</v>
      </c>
      <c r="C840" t="s">
        <v>5</v>
      </c>
    </row>
    <row r="841" spans="1:3">
      <c r="A841" t="s">
        <v>88</v>
      </c>
      <c r="B841" t="s">
        <v>225</v>
      </c>
      <c r="C841" t="s">
        <v>5</v>
      </c>
    </row>
    <row r="842" spans="1:3">
      <c r="A842" t="s">
        <v>88</v>
      </c>
      <c r="B842" t="s">
        <v>226</v>
      </c>
      <c r="C842" t="s">
        <v>5</v>
      </c>
    </row>
    <row r="843" spans="1:3">
      <c r="A843" t="s">
        <v>88</v>
      </c>
      <c r="B843" t="s">
        <v>227</v>
      </c>
      <c r="C843" t="s">
        <v>5</v>
      </c>
    </row>
    <row r="844" spans="1:3">
      <c r="A844" t="s">
        <v>90</v>
      </c>
      <c r="B844" t="s">
        <v>213</v>
      </c>
      <c r="C844" t="s">
        <v>5</v>
      </c>
    </row>
    <row r="845" spans="1:3">
      <c r="A845" t="s">
        <v>90</v>
      </c>
      <c r="B845" t="s">
        <v>207</v>
      </c>
      <c r="C845" t="s">
        <v>5</v>
      </c>
    </row>
    <row r="846" spans="1:3">
      <c r="A846" t="s">
        <v>90</v>
      </c>
      <c r="B846" t="s">
        <v>214</v>
      </c>
      <c r="C846" t="s">
        <v>5</v>
      </c>
    </row>
    <row r="847" spans="1:3">
      <c r="A847" t="s">
        <v>90</v>
      </c>
      <c r="B847" t="s">
        <v>215</v>
      </c>
      <c r="C847" t="s">
        <v>5</v>
      </c>
    </row>
    <row r="848" spans="1:3">
      <c r="A848" t="s">
        <v>90</v>
      </c>
      <c r="B848" t="s">
        <v>216</v>
      </c>
      <c r="C848" t="s">
        <v>5</v>
      </c>
    </row>
    <row r="849" spans="1:3">
      <c r="A849" t="s">
        <v>90</v>
      </c>
      <c r="B849" t="s">
        <v>217</v>
      </c>
      <c r="C849" t="s">
        <v>5</v>
      </c>
    </row>
    <row r="850" spans="1:3">
      <c r="A850" t="s">
        <v>90</v>
      </c>
      <c r="B850" t="s">
        <v>218</v>
      </c>
      <c r="C850" t="s">
        <v>5</v>
      </c>
    </row>
    <row r="851" spans="1:3">
      <c r="A851" t="s">
        <v>90</v>
      </c>
      <c r="B851" t="s">
        <v>219</v>
      </c>
      <c r="C851" t="s">
        <v>5</v>
      </c>
    </row>
    <row r="852" spans="1:3">
      <c r="A852" t="s">
        <v>90</v>
      </c>
      <c r="B852" t="s">
        <v>220</v>
      </c>
      <c r="C852" t="s">
        <v>5</v>
      </c>
    </row>
    <row r="853" spans="1:3">
      <c r="A853" t="s">
        <v>90</v>
      </c>
      <c r="B853" t="s">
        <v>221</v>
      </c>
      <c r="C853" t="s">
        <v>5</v>
      </c>
    </row>
    <row r="854" spans="1:3">
      <c r="A854" t="s">
        <v>90</v>
      </c>
      <c r="B854" t="s">
        <v>222</v>
      </c>
      <c r="C854" t="s">
        <v>5</v>
      </c>
    </row>
    <row r="855" spans="1:3">
      <c r="A855" t="s">
        <v>90</v>
      </c>
      <c r="B855" t="s">
        <v>223</v>
      </c>
      <c r="C855" t="s">
        <v>5</v>
      </c>
    </row>
    <row r="856" spans="1:3">
      <c r="A856" t="s">
        <v>90</v>
      </c>
      <c r="B856" t="s">
        <v>209</v>
      </c>
      <c r="C856" t="s">
        <v>5</v>
      </c>
    </row>
    <row r="857" spans="1:3">
      <c r="A857" t="s">
        <v>90</v>
      </c>
      <c r="B857" t="s">
        <v>224</v>
      </c>
      <c r="C857" t="s">
        <v>5</v>
      </c>
    </row>
    <row r="858" spans="1:3">
      <c r="A858" t="s">
        <v>90</v>
      </c>
      <c r="B858" t="s">
        <v>225</v>
      </c>
      <c r="C858" t="s">
        <v>5</v>
      </c>
    </row>
    <row r="859" spans="1:3">
      <c r="A859" t="s">
        <v>90</v>
      </c>
      <c r="B859" t="s">
        <v>226</v>
      </c>
      <c r="C859" t="s">
        <v>5</v>
      </c>
    </row>
    <row r="860" spans="1:3">
      <c r="A860" t="s">
        <v>90</v>
      </c>
      <c r="B860" t="s">
        <v>227</v>
      </c>
      <c r="C860" t="s">
        <v>5</v>
      </c>
    </row>
    <row r="861" spans="1:3">
      <c r="A861" t="s">
        <v>91</v>
      </c>
      <c r="B861" t="s">
        <v>213</v>
      </c>
      <c r="C861" t="s">
        <v>5</v>
      </c>
    </row>
    <row r="862" spans="1:3">
      <c r="A862" t="s">
        <v>91</v>
      </c>
      <c r="B862" t="s">
        <v>207</v>
      </c>
      <c r="C862" t="s">
        <v>5</v>
      </c>
    </row>
    <row r="863" spans="1:3">
      <c r="A863" t="s">
        <v>91</v>
      </c>
      <c r="B863" t="s">
        <v>214</v>
      </c>
      <c r="C863" t="s">
        <v>5</v>
      </c>
    </row>
    <row r="864" spans="1:3">
      <c r="A864" t="s">
        <v>91</v>
      </c>
      <c r="B864" t="s">
        <v>215</v>
      </c>
      <c r="C864" t="s">
        <v>5</v>
      </c>
    </row>
    <row r="865" spans="1:3">
      <c r="A865" t="s">
        <v>91</v>
      </c>
      <c r="B865" t="s">
        <v>216</v>
      </c>
      <c r="C865" t="s">
        <v>5</v>
      </c>
    </row>
    <row r="866" spans="1:3">
      <c r="A866" t="s">
        <v>91</v>
      </c>
      <c r="B866" t="s">
        <v>217</v>
      </c>
      <c r="C866" t="s">
        <v>5</v>
      </c>
    </row>
    <row r="867" spans="1:3">
      <c r="A867" t="s">
        <v>91</v>
      </c>
      <c r="B867" t="s">
        <v>218</v>
      </c>
      <c r="C867" t="s">
        <v>5</v>
      </c>
    </row>
    <row r="868" spans="1:3">
      <c r="A868" t="s">
        <v>91</v>
      </c>
      <c r="B868" t="s">
        <v>219</v>
      </c>
      <c r="C868" t="s">
        <v>5</v>
      </c>
    </row>
    <row r="869" spans="1:3">
      <c r="A869" t="s">
        <v>91</v>
      </c>
      <c r="B869" t="s">
        <v>220</v>
      </c>
      <c r="C869" t="s">
        <v>5</v>
      </c>
    </row>
    <row r="870" spans="1:3">
      <c r="A870" t="s">
        <v>91</v>
      </c>
      <c r="B870" t="s">
        <v>221</v>
      </c>
      <c r="C870" t="s">
        <v>5</v>
      </c>
    </row>
    <row r="871" spans="1:3">
      <c r="A871" t="s">
        <v>91</v>
      </c>
      <c r="B871" t="s">
        <v>222</v>
      </c>
      <c r="C871" t="s">
        <v>5</v>
      </c>
    </row>
    <row r="872" spans="1:3">
      <c r="A872" t="s">
        <v>91</v>
      </c>
      <c r="B872" t="s">
        <v>223</v>
      </c>
      <c r="C872" t="s">
        <v>5</v>
      </c>
    </row>
    <row r="873" spans="1:3">
      <c r="A873" t="s">
        <v>91</v>
      </c>
      <c r="B873" t="s">
        <v>209</v>
      </c>
      <c r="C873" t="s">
        <v>5</v>
      </c>
    </row>
    <row r="874" spans="1:3">
      <c r="A874" t="s">
        <v>91</v>
      </c>
      <c r="B874" t="s">
        <v>224</v>
      </c>
      <c r="C874" t="s">
        <v>5</v>
      </c>
    </row>
    <row r="875" spans="1:3">
      <c r="A875" t="s">
        <v>91</v>
      </c>
      <c r="B875" t="s">
        <v>225</v>
      </c>
      <c r="C875" t="s">
        <v>5</v>
      </c>
    </row>
    <row r="876" spans="1:3">
      <c r="A876" t="s">
        <v>91</v>
      </c>
      <c r="B876" t="s">
        <v>226</v>
      </c>
      <c r="C876" t="s">
        <v>5</v>
      </c>
    </row>
    <row r="877" spans="1:3">
      <c r="A877" t="s">
        <v>91</v>
      </c>
      <c r="B877" t="s">
        <v>227</v>
      </c>
      <c r="C877" t="s">
        <v>5</v>
      </c>
    </row>
    <row r="878" spans="1:3">
      <c r="A878" t="s">
        <v>92</v>
      </c>
      <c r="B878" t="s">
        <v>213</v>
      </c>
      <c r="C878" t="s">
        <v>5</v>
      </c>
    </row>
    <row r="879" spans="1:3">
      <c r="A879" t="s">
        <v>92</v>
      </c>
      <c r="B879" t="s">
        <v>207</v>
      </c>
      <c r="C879" t="s">
        <v>5</v>
      </c>
    </row>
    <row r="880" spans="1:3">
      <c r="A880" t="s">
        <v>92</v>
      </c>
      <c r="B880" t="s">
        <v>214</v>
      </c>
      <c r="C880" t="s">
        <v>5</v>
      </c>
    </row>
    <row r="881" spans="1:3">
      <c r="A881" t="s">
        <v>92</v>
      </c>
      <c r="B881" t="s">
        <v>215</v>
      </c>
      <c r="C881" t="s">
        <v>5</v>
      </c>
    </row>
    <row r="882" spans="1:3">
      <c r="A882" t="s">
        <v>92</v>
      </c>
      <c r="B882" t="s">
        <v>216</v>
      </c>
      <c r="C882" t="s">
        <v>5</v>
      </c>
    </row>
    <row r="883" spans="1:3">
      <c r="A883" t="s">
        <v>92</v>
      </c>
      <c r="B883" t="s">
        <v>217</v>
      </c>
      <c r="C883" t="s">
        <v>5</v>
      </c>
    </row>
    <row r="884" spans="1:3">
      <c r="A884" t="s">
        <v>92</v>
      </c>
      <c r="B884" t="s">
        <v>218</v>
      </c>
      <c r="C884" t="s">
        <v>5</v>
      </c>
    </row>
    <row r="885" spans="1:3">
      <c r="A885" t="s">
        <v>92</v>
      </c>
      <c r="B885" t="s">
        <v>219</v>
      </c>
      <c r="C885" t="s">
        <v>5</v>
      </c>
    </row>
    <row r="886" spans="1:3">
      <c r="A886" t="s">
        <v>92</v>
      </c>
      <c r="B886" t="s">
        <v>220</v>
      </c>
      <c r="C886" t="s">
        <v>5</v>
      </c>
    </row>
    <row r="887" spans="1:3">
      <c r="A887" t="s">
        <v>92</v>
      </c>
      <c r="B887" t="s">
        <v>221</v>
      </c>
      <c r="C887" t="s">
        <v>5</v>
      </c>
    </row>
    <row r="888" spans="1:3">
      <c r="A888" t="s">
        <v>92</v>
      </c>
      <c r="B888" t="s">
        <v>222</v>
      </c>
      <c r="C888" t="s">
        <v>5</v>
      </c>
    </row>
    <row r="889" spans="1:3">
      <c r="A889" t="s">
        <v>92</v>
      </c>
      <c r="B889" t="s">
        <v>223</v>
      </c>
      <c r="C889" t="s">
        <v>5</v>
      </c>
    </row>
    <row r="890" spans="1:3">
      <c r="A890" t="s">
        <v>92</v>
      </c>
      <c r="B890" t="s">
        <v>209</v>
      </c>
      <c r="C890" t="s">
        <v>5</v>
      </c>
    </row>
    <row r="891" spans="1:3">
      <c r="A891" t="s">
        <v>92</v>
      </c>
      <c r="B891" t="s">
        <v>224</v>
      </c>
      <c r="C891" t="s">
        <v>5</v>
      </c>
    </row>
    <row r="892" spans="1:3">
      <c r="A892" t="s">
        <v>92</v>
      </c>
      <c r="B892" t="s">
        <v>225</v>
      </c>
      <c r="C892" t="s">
        <v>5</v>
      </c>
    </row>
    <row r="893" spans="1:3">
      <c r="A893" t="s">
        <v>92</v>
      </c>
      <c r="B893" t="s">
        <v>226</v>
      </c>
      <c r="C893" t="s">
        <v>5</v>
      </c>
    </row>
    <row r="894" spans="1:3">
      <c r="A894" t="s">
        <v>92</v>
      </c>
      <c r="B894" t="s">
        <v>227</v>
      </c>
      <c r="C894" t="s">
        <v>5</v>
      </c>
    </row>
    <row r="895" spans="1:3">
      <c r="A895" t="s">
        <v>93</v>
      </c>
      <c r="B895" t="s">
        <v>213</v>
      </c>
      <c r="C895" t="s">
        <v>5</v>
      </c>
    </row>
    <row r="896" spans="1:3">
      <c r="A896" t="s">
        <v>93</v>
      </c>
      <c r="B896" t="s">
        <v>207</v>
      </c>
      <c r="C896" t="s">
        <v>5</v>
      </c>
    </row>
    <row r="897" spans="1:3">
      <c r="A897" t="s">
        <v>93</v>
      </c>
      <c r="B897" t="s">
        <v>208</v>
      </c>
      <c r="C897" t="s">
        <v>5</v>
      </c>
    </row>
    <row r="898" spans="1:3">
      <c r="A898" t="s">
        <v>93</v>
      </c>
      <c r="B898" t="s">
        <v>214</v>
      </c>
      <c r="C898" t="s">
        <v>5</v>
      </c>
    </row>
    <row r="899" spans="1:3">
      <c r="A899" t="s">
        <v>93</v>
      </c>
      <c r="B899" t="s">
        <v>215</v>
      </c>
      <c r="C899" t="s">
        <v>5</v>
      </c>
    </row>
    <row r="900" spans="1:3">
      <c r="A900" t="s">
        <v>93</v>
      </c>
      <c r="B900" t="s">
        <v>216</v>
      </c>
      <c r="C900" t="s">
        <v>5</v>
      </c>
    </row>
    <row r="901" spans="1:3">
      <c r="A901" t="s">
        <v>93</v>
      </c>
      <c r="B901" t="s">
        <v>235</v>
      </c>
      <c r="C901" t="s">
        <v>5</v>
      </c>
    </row>
    <row r="902" spans="1:3">
      <c r="A902" t="s">
        <v>93</v>
      </c>
      <c r="B902" t="s">
        <v>217</v>
      </c>
      <c r="C902" t="s">
        <v>5</v>
      </c>
    </row>
    <row r="903" spans="1:3">
      <c r="A903" t="s">
        <v>93</v>
      </c>
      <c r="B903" t="s">
        <v>248</v>
      </c>
      <c r="C903" t="s">
        <v>5</v>
      </c>
    </row>
    <row r="904" spans="1:3">
      <c r="A904" t="s">
        <v>93</v>
      </c>
      <c r="B904" t="s">
        <v>228</v>
      </c>
      <c r="C904" t="s">
        <v>5</v>
      </c>
    </row>
    <row r="905" spans="1:3">
      <c r="A905" t="s">
        <v>93</v>
      </c>
      <c r="B905" t="s">
        <v>218</v>
      </c>
      <c r="C905" t="s">
        <v>5</v>
      </c>
    </row>
    <row r="906" spans="1:3">
      <c r="A906" t="s">
        <v>93</v>
      </c>
      <c r="B906" t="s">
        <v>219</v>
      </c>
      <c r="C906" t="s">
        <v>5</v>
      </c>
    </row>
    <row r="907" spans="1:3">
      <c r="A907" t="s">
        <v>93</v>
      </c>
      <c r="B907" t="s">
        <v>206</v>
      </c>
      <c r="C907" t="s">
        <v>5</v>
      </c>
    </row>
    <row r="908" spans="1:3">
      <c r="A908" t="s">
        <v>93</v>
      </c>
      <c r="B908" t="s">
        <v>220</v>
      </c>
      <c r="C908" t="s">
        <v>5</v>
      </c>
    </row>
    <row r="909" spans="1:3">
      <c r="A909" t="s">
        <v>93</v>
      </c>
      <c r="B909" t="s">
        <v>229</v>
      </c>
      <c r="C909" t="s">
        <v>5</v>
      </c>
    </row>
    <row r="910" spans="1:3">
      <c r="A910" t="s">
        <v>93</v>
      </c>
      <c r="B910" t="s">
        <v>221</v>
      </c>
      <c r="C910" t="s">
        <v>5</v>
      </c>
    </row>
    <row r="911" spans="1:3">
      <c r="A911" t="s">
        <v>93</v>
      </c>
      <c r="B911" t="s">
        <v>230</v>
      </c>
      <c r="C911" t="s">
        <v>5</v>
      </c>
    </row>
    <row r="912" spans="1:3">
      <c r="A912" t="s">
        <v>93</v>
      </c>
      <c r="B912" t="s">
        <v>222</v>
      </c>
      <c r="C912" t="s">
        <v>5</v>
      </c>
    </row>
    <row r="913" spans="1:3">
      <c r="A913" t="s">
        <v>93</v>
      </c>
      <c r="B913" t="s">
        <v>237</v>
      </c>
      <c r="C913" t="s">
        <v>5</v>
      </c>
    </row>
    <row r="914" spans="1:3">
      <c r="A914" t="s">
        <v>93</v>
      </c>
      <c r="B914" t="s">
        <v>223</v>
      </c>
      <c r="C914" t="s">
        <v>5</v>
      </c>
    </row>
    <row r="915" spans="1:3">
      <c r="A915" t="s">
        <v>93</v>
      </c>
      <c r="B915" t="s">
        <v>209</v>
      </c>
      <c r="C915" t="s">
        <v>5</v>
      </c>
    </row>
    <row r="916" spans="1:3">
      <c r="A916" t="s">
        <v>93</v>
      </c>
      <c r="B916" t="s">
        <v>239</v>
      </c>
      <c r="C916" t="s">
        <v>5</v>
      </c>
    </row>
    <row r="917" spans="1:3">
      <c r="A917" t="s">
        <v>93</v>
      </c>
      <c r="B917" t="s">
        <v>224</v>
      </c>
      <c r="C917" t="s">
        <v>5</v>
      </c>
    </row>
    <row r="918" spans="1:3">
      <c r="A918" t="s">
        <v>93</v>
      </c>
      <c r="B918" t="s">
        <v>225</v>
      </c>
      <c r="C918" t="s">
        <v>5</v>
      </c>
    </row>
    <row r="919" spans="1:3">
      <c r="A919" t="s">
        <v>93</v>
      </c>
      <c r="B919" t="s">
        <v>226</v>
      </c>
      <c r="C919" t="s">
        <v>5</v>
      </c>
    </row>
    <row r="920" spans="1:3">
      <c r="A920" t="s">
        <v>93</v>
      </c>
      <c r="B920" t="s">
        <v>227</v>
      </c>
      <c r="C920" t="s">
        <v>5</v>
      </c>
    </row>
    <row r="921" spans="1:3">
      <c r="A921" t="s">
        <v>94</v>
      </c>
      <c r="B921" t="s">
        <v>213</v>
      </c>
      <c r="C921" t="s">
        <v>5</v>
      </c>
    </row>
    <row r="922" spans="1:3">
      <c r="A922" t="s">
        <v>94</v>
      </c>
      <c r="B922" t="s">
        <v>207</v>
      </c>
      <c r="C922" t="s">
        <v>5</v>
      </c>
    </row>
    <row r="923" spans="1:3">
      <c r="A923" t="s">
        <v>94</v>
      </c>
      <c r="B923" t="s">
        <v>214</v>
      </c>
      <c r="C923" t="s">
        <v>5</v>
      </c>
    </row>
    <row r="924" spans="1:3">
      <c r="A924" t="s">
        <v>94</v>
      </c>
      <c r="B924" t="s">
        <v>215</v>
      </c>
      <c r="C924" t="s">
        <v>5</v>
      </c>
    </row>
    <row r="925" spans="1:3">
      <c r="A925" t="s">
        <v>94</v>
      </c>
      <c r="B925" t="s">
        <v>216</v>
      </c>
      <c r="C925" t="s">
        <v>5</v>
      </c>
    </row>
    <row r="926" spans="1:3">
      <c r="A926" t="s">
        <v>94</v>
      </c>
      <c r="B926" t="s">
        <v>217</v>
      </c>
      <c r="C926" t="s">
        <v>5</v>
      </c>
    </row>
    <row r="927" spans="1:3">
      <c r="A927" t="s">
        <v>94</v>
      </c>
      <c r="B927" t="s">
        <v>218</v>
      </c>
      <c r="C927" t="s">
        <v>5</v>
      </c>
    </row>
    <row r="928" spans="1:3">
      <c r="A928" t="s">
        <v>94</v>
      </c>
      <c r="B928" t="s">
        <v>219</v>
      </c>
      <c r="C928" t="s">
        <v>5</v>
      </c>
    </row>
    <row r="929" spans="1:3">
      <c r="A929" t="s">
        <v>94</v>
      </c>
      <c r="B929" t="s">
        <v>220</v>
      </c>
      <c r="C929" t="s">
        <v>5</v>
      </c>
    </row>
    <row r="930" spans="1:3">
      <c r="A930" t="s">
        <v>94</v>
      </c>
      <c r="B930" t="s">
        <v>221</v>
      </c>
      <c r="C930" t="s">
        <v>5</v>
      </c>
    </row>
    <row r="931" spans="1:3">
      <c r="A931" t="s">
        <v>94</v>
      </c>
      <c r="B931" t="s">
        <v>222</v>
      </c>
      <c r="C931" t="s">
        <v>5</v>
      </c>
    </row>
    <row r="932" spans="1:3">
      <c r="A932" t="s">
        <v>94</v>
      </c>
      <c r="B932" t="s">
        <v>223</v>
      </c>
      <c r="C932" t="s">
        <v>5</v>
      </c>
    </row>
    <row r="933" spans="1:3">
      <c r="A933" t="s">
        <v>94</v>
      </c>
      <c r="B933" t="s">
        <v>209</v>
      </c>
      <c r="C933" t="s">
        <v>5</v>
      </c>
    </row>
    <row r="934" spans="1:3">
      <c r="A934" t="s">
        <v>94</v>
      </c>
      <c r="B934" t="s">
        <v>224</v>
      </c>
      <c r="C934" t="s">
        <v>5</v>
      </c>
    </row>
    <row r="935" spans="1:3">
      <c r="A935" t="s">
        <v>94</v>
      </c>
      <c r="B935" t="s">
        <v>225</v>
      </c>
      <c r="C935" t="s">
        <v>5</v>
      </c>
    </row>
    <row r="936" spans="1:3">
      <c r="A936" t="s">
        <v>94</v>
      </c>
      <c r="B936" t="s">
        <v>226</v>
      </c>
      <c r="C936" t="s">
        <v>5</v>
      </c>
    </row>
    <row r="937" spans="1:3">
      <c r="A937" t="s">
        <v>94</v>
      </c>
      <c r="B937" t="s">
        <v>227</v>
      </c>
      <c r="C937" t="s">
        <v>5</v>
      </c>
    </row>
    <row r="938" spans="1:3">
      <c r="A938" t="s">
        <v>95</v>
      </c>
      <c r="B938" t="s">
        <v>213</v>
      </c>
      <c r="C938" t="s">
        <v>5</v>
      </c>
    </row>
    <row r="939" spans="1:3">
      <c r="A939" t="s">
        <v>95</v>
      </c>
      <c r="B939" t="s">
        <v>207</v>
      </c>
      <c r="C939" t="s">
        <v>5</v>
      </c>
    </row>
    <row r="940" spans="1:3">
      <c r="A940" t="s">
        <v>95</v>
      </c>
      <c r="B940" t="s">
        <v>214</v>
      </c>
      <c r="C940" t="s">
        <v>5</v>
      </c>
    </row>
    <row r="941" spans="1:3">
      <c r="A941" t="s">
        <v>95</v>
      </c>
      <c r="B941" t="s">
        <v>215</v>
      </c>
      <c r="C941" t="s">
        <v>5</v>
      </c>
    </row>
    <row r="942" spans="1:3">
      <c r="A942" t="s">
        <v>95</v>
      </c>
      <c r="B942" t="s">
        <v>216</v>
      </c>
      <c r="C942" t="s">
        <v>5</v>
      </c>
    </row>
    <row r="943" spans="1:3">
      <c r="A943" t="s">
        <v>95</v>
      </c>
      <c r="B943" t="s">
        <v>217</v>
      </c>
      <c r="C943" t="s">
        <v>5</v>
      </c>
    </row>
    <row r="944" spans="1:3">
      <c r="A944" t="s">
        <v>95</v>
      </c>
      <c r="B944" t="s">
        <v>218</v>
      </c>
      <c r="C944" t="s">
        <v>5</v>
      </c>
    </row>
    <row r="945" spans="1:3">
      <c r="A945" t="s">
        <v>95</v>
      </c>
      <c r="B945" t="s">
        <v>219</v>
      </c>
      <c r="C945" t="s">
        <v>5</v>
      </c>
    </row>
    <row r="946" spans="1:3">
      <c r="A946" t="s">
        <v>95</v>
      </c>
      <c r="B946" t="s">
        <v>220</v>
      </c>
      <c r="C946" t="s">
        <v>5</v>
      </c>
    </row>
    <row r="947" spans="1:3">
      <c r="A947" t="s">
        <v>95</v>
      </c>
      <c r="B947" t="s">
        <v>221</v>
      </c>
      <c r="C947" t="s">
        <v>5</v>
      </c>
    </row>
    <row r="948" spans="1:3">
      <c r="A948" t="s">
        <v>95</v>
      </c>
      <c r="B948" t="s">
        <v>222</v>
      </c>
      <c r="C948" t="s">
        <v>5</v>
      </c>
    </row>
    <row r="949" spans="1:3">
      <c r="A949" t="s">
        <v>95</v>
      </c>
      <c r="B949" t="s">
        <v>223</v>
      </c>
      <c r="C949" t="s">
        <v>5</v>
      </c>
    </row>
    <row r="950" spans="1:3">
      <c r="A950" t="s">
        <v>95</v>
      </c>
      <c r="B950" t="s">
        <v>209</v>
      </c>
      <c r="C950" t="s">
        <v>5</v>
      </c>
    </row>
    <row r="951" spans="1:3">
      <c r="A951" t="s">
        <v>95</v>
      </c>
      <c r="B951" t="s">
        <v>224</v>
      </c>
      <c r="C951" t="s">
        <v>5</v>
      </c>
    </row>
    <row r="952" spans="1:3">
      <c r="A952" t="s">
        <v>95</v>
      </c>
      <c r="B952" t="s">
        <v>225</v>
      </c>
      <c r="C952" t="s">
        <v>5</v>
      </c>
    </row>
    <row r="953" spans="1:3">
      <c r="A953" t="s">
        <v>95</v>
      </c>
      <c r="B953" t="s">
        <v>226</v>
      </c>
      <c r="C953" t="s">
        <v>5</v>
      </c>
    </row>
    <row r="954" spans="1:3">
      <c r="A954" t="s">
        <v>95</v>
      </c>
      <c r="B954" t="s">
        <v>227</v>
      </c>
      <c r="C954" t="s">
        <v>5</v>
      </c>
    </row>
    <row r="955" spans="1:3">
      <c r="A955" t="s">
        <v>96</v>
      </c>
      <c r="B955" t="s">
        <v>213</v>
      </c>
      <c r="C955" t="s">
        <v>5</v>
      </c>
    </row>
    <row r="956" spans="1:3">
      <c r="A956" t="s">
        <v>96</v>
      </c>
      <c r="B956" t="s">
        <v>207</v>
      </c>
      <c r="C956" t="s">
        <v>5</v>
      </c>
    </row>
    <row r="957" spans="1:3">
      <c r="A957" t="s">
        <v>96</v>
      </c>
      <c r="B957" t="s">
        <v>214</v>
      </c>
      <c r="C957" t="s">
        <v>5</v>
      </c>
    </row>
    <row r="958" spans="1:3">
      <c r="A958" t="s">
        <v>96</v>
      </c>
      <c r="B958" t="s">
        <v>215</v>
      </c>
      <c r="C958" t="s">
        <v>5</v>
      </c>
    </row>
    <row r="959" spans="1:3">
      <c r="A959" t="s">
        <v>96</v>
      </c>
      <c r="B959" t="s">
        <v>216</v>
      </c>
      <c r="C959" t="s">
        <v>5</v>
      </c>
    </row>
    <row r="960" spans="1:3">
      <c r="A960" t="s">
        <v>96</v>
      </c>
      <c r="B960" t="s">
        <v>217</v>
      </c>
      <c r="C960" t="s">
        <v>5</v>
      </c>
    </row>
    <row r="961" spans="1:3">
      <c r="A961" t="s">
        <v>96</v>
      </c>
      <c r="B961" t="s">
        <v>218</v>
      </c>
      <c r="C961" t="s">
        <v>5</v>
      </c>
    </row>
    <row r="962" spans="1:3">
      <c r="A962" t="s">
        <v>96</v>
      </c>
      <c r="B962" t="s">
        <v>219</v>
      </c>
      <c r="C962" t="s">
        <v>5</v>
      </c>
    </row>
    <row r="963" spans="1:3">
      <c r="A963" t="s">
        <v>96</v>
      </c>
      <c r="B963" t="s">
        <v>220</v>
      </c>
      <c r="C963" t="s">
        <v>5</v>
      </c>
    </row>
    <row r="964" spans="1:3">
      <c r="A964" t="s">
        <v>96</v>
      </c>
      <c r="B964" t="s">
        <v>221</v>
      </c>
      <c r="C964" t="s">
        <v>5</v>
      </c>
    </row>
    <row r="965" spans="1:3">
      <c r="A965" t="s">
        <v>96</v>
      </c>
      <c r="B965" t="s">
        <v>222</v>
      </c>
      <c r="C965" t="s">
        <v>5</v>
      </c>
    </row>
    <row r="966" spans="1:3">
      <c r="A966" t="s">
        <v>96</v>
      </c>
      <c r="B966" t="s">
        <v>223</v>
      </c>
      <c r="C966" t="s">
        <v>5</v>
      </c>
    </row>
    <row r="967" spans="1:3">
      <c r="A967" t="s">
        <v>96</v>
      </c>
      <c r="B967" t="s">
        <v>209</v>
      </c>
      <c r="C967" t="s">
        <v>5</v>
      </c>
    </row>
    <row r="968" spans="1:3">
      <c r="A968" t="s">
        <v>96</v>
      </c>
      <c r="B968" t="s">
        <v>224</v>
      </c>
      <c r="C968" t="s">
        <v>5</v>
      </c>
    </row>
    <row r="969" spans="1:3">
      <c r="A969" t="s">
        <v>96</v>
      </c>
      <c r="B969" t="s">
        <v>225</v>
      </c>
      <c r="C969" t="s">
        <v>5</v>
      </c>
    </row>
    <row r="970" spans="1:3">
      <c r="A970" t="s">
        <v>96</v>
      </c>
      <c r="B970" t="s">
        <v>226</v>
      </c>
      <c r="C970" t="s">
        <v>5</v>
      </c>
    </row>
    <row r="971" spans="1:3">
      <c r="A971" t="s">
        <v>96</v>
      </c>
      <c r="B971" t="s">
        <v>227</v>
      </c>
      <c r="C971" t="s">
        <v>5</v>
      </c>
    </row>
    <row r="972" spans="1:3">
      <c r="A972" t="s">
        <v>97</v>
      </c>
      <c r="B972" t="s">
        <v>216</v>
      </c>
      <c r="C972" t="s">
        <v>5</v>
      </c>
    </row>
    <row r="973" spans="1:3">
      <c r="A973" t="s">
        <v>97</v>
      </c>
      <c r="B973" t="s">
        <v>235</v>
      </c>
      <c r="C973" t="s">
        <v>5</v>
      </c>
    </row>
    <row r="974" spans="1:3">
      <c r="A974" t="s">
        <v>97</v>
      </c>
      <c r="B974" t="s">
        <v>217</v>
      </c>
      <c r="C974" t="s">
        <v>5</v>
      </c>
    </row>
    <row r="975" spans="1:3">
      <c r="A975" t="s">
        <v>97</v>
      </c>
      <c r="B975" t="s">
        <v>228</v>
      </c>
      <c r="C975" t="s">
        <v>5</v>
      </c>
    </row>
    <row r="976" spans="1:3">
      <c r="A976" t="s">
        <v>97</v>
      </c>
      <c r="B976" t="s">
        <v>219</v>
      </c>
      <c r="C976" t="s">
        <v>5</v>
      </c>
    </row>
    <row r="977" spans="1:3">
      <c r="A977" t="s">
        <v>97</v>
      </c>
      <c r="B977" t="s">
        <v>206</v>
      </c>
      <c r="C977" t="s">
        <v>5</v>
      </c>
    </row>
    <row r="978" spans="1:3">
      <c r="A978" t="s">
        <v>97</v>
      </c>
      <c r="B978" t="s">
        <v>220</v>
      </c>
      <c r="C978" t="s">
        <v>5</v>
      </c>
    </row>
    <row r="979" spans="1:3">
      <c r="A979" t="s">
        <v>97</v>
      </c>
      <c r="B979" t="s">
        <v>229</v>
      </c>
      <c r="C979" t="s">
        <v>5</v>
      </c>
    </row>
    <row r="980" spans="1:3">
      <c r="A980" t="s">
        <v>97</v>
      </c>
      <c r="B980" t="s">
        <v>221</v>
      </c>
      <c r="C980" t="s">
        <v>5</v>
      </c>
    </row>
    <row r="981" spans="1:3">
      <c r="A981" t="s">
        <v>97</v>
      </c>
      <c r="B981" t="s">
        <v>230</v>
      </c>
      <c r="C981" t="s">
        <v>5</v>
      </c>
    </row>
    <row r="982" spans="1:3">
      <c r="A982" t="s">
        <v>97</v>
      </c>
      <c r="B982" t="s">
        <v>222</v>
      </c>
      <c r="C982" t="s">
        <v>5</v>
      </c>
    </row>
    <row r="983" spans="1:3">
      <c r="A983" t="s">
        <v>97</v>
      </c>
      <c r="B983" t="s">
        <v>237</v>
      </c>
      <c r="C983" t="s">
        <v>5</v>
      </c>
    </row>
    <row r="984" spans="1:3">
      <c r="A984" t="s">
        <v>97</v>
      </c>
      <c r="B984" t="s">
        <v>212</v>
      </c>
      <c r="C984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1C64-B04F-465B-8ACD-1A28D58D36DE}">
  <dimension ref="A1:C294"/>
  <sheetViews>
    <sheetView topLeftCell="A111" workbookViewId="0">
      <selection activeCell="A2" sqref="A2:A294"/>
    </sheetView>
  </sheetViews>
  <sheetFormatPr defaultRowHeight="15"/>
  <cols>
    <col min="1" max="1" width="51.85546875" bestFit="1" customWidth="1"/>
    <col min="2" max="2" width="20" bestFit="1" customWidth="1"/>
    <col min="3" max="3" width="8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t="s">
        <v>266</v>
      </c>
      <c r="C2" t="s">
        <v>5</v>
      </c>
    </row>
    <row r="3" spans="1:3">
      <c r="A3" t="s">
        <v>11</v>
      </c>
      <c r="B3" t="s">
        <v>267</v>
      </c>
      <c r="C3" t="s">
        <v>5</v>
      </c>
    </row>
    <row r="4" spans="1:3">
      <c r="A4" t="s">
        <v>11</v>
      </c>
      <c r="B4" t="s">
        <v>268</v>
      </c>
      <c r="C4" t="s">
        <v>5</v>
      </c>
    </row>
    <row r="5" spans="1:3">
      <c r="A5" t="s">
        <v>11</v>
      </c>
      <c r="B5" t="s">
        <v>269</v>
      </c>
      <c r="C5" t="s">
        <v>5</v>
      </c>
    </row>
    <row r="6" spans="1:3">
      <c r="A6" t="s">
        <v>11</v>
      </c>
      <c r="B6" t="s">
        <v>270</v>
      </c>
      <c r="C6" t="s">
        <v>5</v>
      </c>
    </row>
    <row r="7" spans="1:3">
      <c r="A7" t="s">
        <v>21</v>
      </c>
      <c r="B7" t="s">
        <v>266</v>
      </c>
      <c r="C7" t="s">
        <v>5</v>
      </c>
    </row>
    <row r="8" spans="1:3">
      <c r="A8" t="s">
        <v>21</v>
      </c>
      <c r="B8" t="s">
        <v>271</v>
      </c>
      <c r="C8" t="s">
        <v>5</v>
      </c>
    </row>
    <row r="9" spans="1:3">
      <c r="A9" t="s">
        <v>21</v>
      </c>
      <c r="B9" t="s">
        <v>268</v>
      </c>
      <c r="C9" t="s">
        <v>5</v>
      </c>
    </row>
    <row r="10" spans="1:3">
      <c r="A10" t="s">
        <v>21</v>
      </c>
      <c r="B10" t="s">
        <v>269</v>
      </c>
      <c r="C10" t="s">
        <v>5</v>
      </c>
    </row>
    <row r="11" spans="1:3">
      <c r="A11" t="s">
        <v>24</v>
      </c>
      <c r="B11" t="s">
        <v>266</v>
      </c>
      <c r="C11" t="s">
        <v>5</v>
      </c>
    </row>
    <row r="12" spans="1:3">
      <c r="A12" t="s">
        <v>24</v>
      </c>
      <c r="B12" t="s">
        <v>271</v>
      </c>
      <c r="C12" t="s">
        <v>5</v>
      </c>
    </row>
    <row r="13" spans="1:3">
      <c r="A13" t="s">
        <v>24</v>
      </c>
      <c r="B13" t="s">
        <v>267</v>
      </c>
      <c r="C13" t="s">
        <v>5</v>
      </c>
    </row>
    <row r="14" spans="1:3">
      <c r="A14" t="s">
        <v>24</v>
      </c>
      <c r="B14" t="s">
        <v>272</v>
      </c>
      <c r="C14" t="s">
        <v>5</v>
      </c>
    </row>
    <row r="15" spans="1:3">
      <c r="A15" t="s">
        <v>24</v>
      </c>
      <c r="B15" t="s">
        <v>268</v>
      </c>
      <c r="C15" t="s">
        <v>5</v>
      </c>
    </row>
    <row r="16" spans="1:3">
      <c r="A16" t="s">
        <v>24</v>
      </c>
      <c r="B16" t="s">
        <v>269</v>
      </c>
      <c r="C16" t="s">
        <v>5</v>
      </c>
    </row>
    <row r="17" spans="1:3">
      <c r="A17" t="s">
        <v>24</v>
      </c>
      <c r="B17" t="s">
        <v>270</v>
      </c>
      <c r="C17" t="s">
        <v>5</v>
      </c>
    </row>
    <row r="18" spans="1:3">
      <c r="A18" t="s">
        <v>24</v>
      </c>
      <c r="B18" t="s">
        <v>273</v>
      </c>
      <c r="C18" t="s">
        <v>5</v>
      </c>
    </row>
    <row r="19" spans="1:3">
      <c r="A19" t="s">
        <v>24</v>
      </c>
      <c r="B19" t="s">
        <v>274</v>
      </c>
      <c r="C19" t="s">
        <v>5</v>
      </c>
    </row>
    <row r="20" spans="1:3">
      <c r="A20" t="s">
        <v>24</v>
      </c>
      <c r="B20" t="s">
        <v>275</v>
      </c>
      <c r="C20" t="s">
        <v>5</v>
      </c>
    </row>
    <row r="21" spans="1:3">
      <c r="A21" t="s">
        <v>34</v>
      </c>
      <c r="B21" t="s">
        <v>266</v>
      </c>
      <c r="C21" t="s">
        <v>5</v>
      </c>
    </row>
    <row r="22" spans="1:3">
      <c r="A22" t="s">
        <v>34</v>
      </c>
      <c r="B22" t="s">
        <v>271</v>
      </c>
      <c r="C22" t="s">
        <v>5</v>
      </c>
    </row>
    <row r="23" spans="1:3">
      <c r="A23" t="s">
        <v>34</v>
      </c>
      <c r="B23" t="s">
        <v>267</v>
      </c>
      <c r="C23" t="s">
        <v>5</v>
      </c>
    </row>
    <row r="24" spans="1:3">
      <c r="A24" t="s">
        <v>34</v>
      </c>
      <c r="B24" t="s">
        <v>272</v>
      </c>
      <c r="C24" t="s">
        <v>5</v>
      </c>
    </row>
    <row r="25" spans="1:3">
      <c r="A25" t="s">
        <v>34</v>
      </c>
      <c r="B25" t="s">
        <v>268</v>
      </c>
      <c r="C25" t="s">
        <v>5</v>
      </c>
    </row>
    <row r="26" spans="1:3">
      <c r="A26" t="s">
        <v>34</v>
      </c>
      <c r="B26" t="s">
        <v>270</v>
      </c>
      <c r="C26" t="s">
        <v>5</v>
      </c>
    </row>
    <row r="27" spans="1:3">
      <c r="A27" t="s">
        <v>35</v>
      </c>
      <c r="B27" t="s">
        <v>269</v>
      </c>
      <c r="C27" t="s">
        <v>5</v>
      </c>
    </row>
    <row r="28" spans="1:3">
      <c r="A28" t="s">
        <v>38</v>
      </c>
      <c r="B28" t="s">
        <v>266</v>
      </c>
      <c r="C28" t="s">
        <v>5</v>
      </c>
    </row>
    <row r="29" spans="1:3">
      <c r="A29" t="s">
        <v>38</v>
      </c>
      <c r="B29" t="s">
        <v>271</v>
      </c>
      <c r="C29" t="s">
        <v>5</v>
      </c>
    </row>
    <row r="30" spans="1:3">
      <c r="A30" t="s">
        <v>38</v>
      </c>
      <c r="B30" t="s">
        <v>267</v>
      </c>
      <c r="C30" t="s">
        <v>5</v>
      </c>
    </row>
    <row r="31" spans="1:3">
      <c r="A31" t="s">
        <v>38</v>
      </c>
      <c r="B31" t="s">
        <v>272</v>
      </c>
      <c r="C31" t="s">
        <v>5</v>
      </c>
    </row>
    <row r="32" spans="1:3">
      <c r="A32" t="s">
        <v>38</v>
      </c>
      <c r="B32" t="s">
        <v>268</v>
      </c>
      <c r="C32" t="s">
        <v>5</v>
      </c>
    </row>
    <row r="33" spans="1:3">
      <c r="A33" t="s">
        <v>38</v>
      </c>
      <c r="B33" t="s">
        <v>269</v>
      </c>
      <c r="C33" t="s">
        <v>5</v>
      </c>
    </row>
    <row r="34" spans="1:3">
      <c r="A34" t="s">
        <v>38</v>
      </c>
      <c r="B34" t="s">
        <v>270</v>
      </c>
      <c r="C34" t="s">
        <v>5</v>
      </c>
    </row>
    <row r="35" spans="1:3">
      <c r="A35" t="s">
        <v>38</v>
      </c>
      <c r="B35" t="s">
        <v>273</v>
      </c>
      <c r="C35" t="s">
        <v>5</v>
      </c>
    </row>
    <row r="36" spans="1:3">
      <c r="A36" t="s">
        <v>38</v>
      </c>
      <c r="B36" t="s">
        <v>274</v>
      </c>
      <c r="C36" t="s">
        <v>5</v>
      </c>
    </row>
    <row r="37" spans="1:3">
      <c r="A37" t="s">
        <v>38</v>
      </c>
      <c r="B37" t="s">
        <v>275</v>
      </c>
      <c r="C37" t="s">
        <v>5</v>
      </c>
    </row>
    <row r="38" spans="1:3">
      <c r="A38" t="s">
        <v>39</v>
      </c>
      <c r="B38" t="s">
        <v>266</v>
      </c>
      <c r="C38" t="s">
        <v>5</v>
      </c>
    </row>
    <row r="39" spans="1:3">
      <c r="A39" t="s">
        <v>39</v>
      </c>
      <c r="B39" t="s">
        <v>271</v>
      </c>
      <c r="C39" t="s">
        <v>5</v>
      </c>
    </row>
    <row r="40" spans="1:3">
      <c r="A40" t="s">
        <v>39</v>
      </c>
      <c r="B40" t="s">
        <v>267</v>
      </c>
      <c r="C40" t="s">
        <v>5</v>
      </c>
    </row>
    <row r="41" spans="1:3">
      <c r="A41" t="s">
        <v>39</v>
      </c>
      <c r="B41" t="s">
        <v>272</v>
      </c>
      <c r="C41" t="s">
        <v>5</v>
      </c>
    </row>
    <row r="42" spans="1:3">
      <c r="A42" t="s">
        <v>39</v>
      </c>
      <c r="B42" t="s">
        <v>268</v>
      </c>
      <c r="C42" t="s">
        <v>5</v>
      </c>
    </row>
    <row r="43" spans="1:3">
      <c r="A43" t="s">
        <v>39</v>
      </c>
      <c r="B43" t="s">
        <v>269</v>
      </c>
      <c r="C43" t="s">
        <v>5</v>
      </c>
    </row>
    <row r="44" spans="1:3">
      <c r="A44" t="s">
        <v>39</v>
      </c>
      <c r="B44" t="s">
        <v>270</v>
      </c>
      <c r="C44" t="s">
        <v>5</v>
      </c>
    </row>
    <row r="45" spans="1:3">
      <c r="A45" t="s">
        <v>39</v>
      </c>
      <c r="B45" t="s">
        <v>273</v>
      </c>
      <c r="C45" t="s">
        <v>5</v>
      </c>
    </row>
    <row r="46" spans="1:3">
      <c r="A46" t="s">
        <v>40</v>
      </c>
      <c r="B46" t="s">
        <v>266</v>
      </c>
      <c r="C46" t="s">
        <v>5</v>
      </c>
    </row>
    <row r="47" spans="1:3">
      <c r="A47" t="s">
        <v>40</v>
      </c>
      <c r="B47" t="s">
        <v>267</v>
      </c>
      <c r="C47" t="s">
        <v>5</v>
      </c>
    </row>
    <row r="48" spans="1:3">
      <c r="A48" t="s">
        <v>40</v>
      </c>
      <c r="B48" t="s">
        <v>268</v>
      </c>
      <c r="C48" t="s">
        <v>5</v>
      </c>
    </row>
    <row r="49" spans="1:3">
      <c r="A49" t="s">
        <v>40</v>
      </c>
      <c r="B49" t="s">
        <v>270</v>
      </c>
      <c r="C49" t="s">
        <v>5</v>
      </c>
    </row>
    <row r="50" spans="1:3">
      <c r="A50" t="s">
        <v>40</v>
      </c>
      <c r="B50" t="s">
        <v>274</v>
      </c>
      <c r="C50" t="s">
        <v>5</v>
      </c>
    </row>
    <row r="51" spans="1:3">
      <c r="A51" t="s">
        <v>40</v>
      </c>
      <c r="B51" t="s">
        <v>275</v>
      </c>
      <c r="C51" t="s">
        <v>5</v>
      </c>
    </row>
    <row r="52" spans="1:3">
      <c r="A52" t="s">
        <v>41</v>
      </c>
      <c r="B52" t="s">
        <v>266</v>
      </c>
      <c r="C52" t="s">
        <v>5</v>
      </c>
    </row>
    <row r="53" spans="1:3">
      <c r="A53" t="s">
        <v>41</v>
      </c>
      <c r="B53" t="s">
        <v>271</v>
      </c>
      <c r="C53" t="s">
        <v>5</v>
      </c>
    </row>
    <row r="54" spans="1:3">
      <c r="A54" t="s">
        <v>41</v>
      </c>
      <c r="B54" t="s">
        <v>267</v>
      </c>
      <c r="C54" t="s">
        <v>5</v>
      </c>
    </row>
    <row r="55" spans="1:3">
      <c r="A55" t="s">
        <v>41</v>
      </c>
      <c r="B55" t="s">
        <v>272</v>
      </c>
      <c r="C55" t="s">
        <v>5</v>
      </c>
    </row>
    <row r="56" spans="1:3">
      <c r="A56" t="s">
        <v>41</v>
      </c>
      <c r="B56" t="s">
        <v>268</v>
      </c>
      <c r="C56" t="s">
        <v>5</v>
      </c>
    </row>
    <row r="57" spans="1:3">
      <c r="A57" t="s">
        <v>41</v>
      </c>
      <c r="B57" t="s">
        <v>276</v>
      </c>
      <c r="C57" t="s">
        <v>5</v>
      </c>
    </row>
    <row r="58" spans="1:3">
      <c r="A58" t="s">
        <v>41</v>
      </c>
      <c r="B58" t="s">
        <v>269</v>
      </c>
      <c r="C58" t="s">
        <v>5</v>
      </c>
    </row>
    <row r="59" spans="1:3">
      <c r="A59" t="s">
        <v>41</v>
      </c>
      <c r="B59" t="s">
        <v>270</v>
      </c>
      <c r="C59" t="s">
        <v>5</v>
      </c>
    </row>
    <row r="60" spans="1:3">
      <c r="A60" t="s">
        <v>41</v>
      </c>
      <c r="B60" t="s">
        <v>273</v>
      </c>
      <c r="C60" t="s">
        <v>5</v>
      </c>
    </row>
    <row r="61" spans="1:3">
      <c r="A61" t="s">
        <v>42</v>
      </c>
      <c r="B61" t="s">
        <v>266</v>
      </c>
      <c r="C61" t="s">
        <v>5</v>
      </c>
    </row>
    <row r="62" spans="1:3">
      <c r="A62" t="s">
        <v>42</v>
      </c>
      <c r="B62" t="s">
        <v>267</v>
      </c>
      <c r="C62" t="s">
        <v>5</v>
      </c>
    </row>
    <row r="63" spans="1:3">
      <c r="A63" t="s">
        <v>42</v>
      </c>
      <c r="B63" t="s">
        <v>268</v>
      </c>
      <c r="C63" t="s">
        <v>5</v>
      </c>
    </row>
    <row r="64" spans="1:3">
      <c r="A64" t="s">
        <v>42</v>
      </c>
      <c r="B64" t="s">
        <v>270</v>
      </c>
      <c r="C64" t="s">
        <v>5</v>
      </c>
    </row>
    <row r="65" spans="1:3">
      <c r="A65" t="s">
        <v>43</v>
      </c>
      <c r="B65" t="s">
        <v>266</v>
      </c>
      <c r="C65" t="s">
        <v>5</v>
      </c>
    </row>
    <row r="66" spans="1:3">
      <c r="A66" t="s">
        <v>43</v>
      </c>
      <c r="B66" t="s">
        <v>277</v>
      </c>
      <c r="C66" t="s">
        <v>5</v>
      </c>
    </row>
    <row r="67" spans="1:3">
      <c r="A67" t="s">
        <v>43</v>
      </c>
      <c r="B67" t="s">
        <v>271</v>
      </c>
      <c r="C67" t="s">
        <v>5</v>
      </c>
    </row>
    <row r="68" spans="1:3">
      <c r="A68" t="s">
        <v>43</v>
      </c>
      <c r="B68" t="s">
        <v>267</v>
      </c>
      <c r="C68" t="s">
        <v>5</v>
      </c>
    </row>
    <row r="69" spans="1:3">
      <c r="A69" t="s">
        <v>43</v>
      </c>
      <c r="B69" t="s">
        <v>278</v>
      </c>
      <c r="C69" t="s">
        <v>5</v>
      </c>
    </row>
    <row r="70" spans="1:3">
      <c r="A70" t="s">
        <v>43</v>
      </c>
      <c r="B70" t="s">
        <v>272</v>
      </c>
      <c r="C70" t="s">
        <v>5</v>
      </c>
    </row>
    <row r="71" spans="1:3">
      <c r="A71" t="s">
        <v>43</v>
      </c>
      <c r="B71" t="s">
        <v>268</v>
      </c>
      <c r="C71" t="s">
        <v>5</v>
      </c>
    </row>
    <row r="72" spans="1:3">
      <c r="A72" t="s">
        <v>43</v>
      </c>
      <c r="B72" t="s">
        <v>276</v>
      </c>
      <c r="C72" t="s">
        <v>5</v>
      </c>
    </row>
    <row r="73" spans="1:3">
      <c r="A73" t="s">
        <v>43</v>
      </c>
      <c r="B73" t="s">
        <v>269</v>
      </c>
      <c r="C73" t="s">
        <v>5</v>
      </c>
    </row>
    <row r="74" spans="1:3">
      <c r="A74" t="s">
        <v>43</v>
      </c>
      <c r="B74" t="s">
        <v>270</v>
      </c>
      <c r="C74" t="s">
        <v>5</v>
      </c>
    </row>
    <row r="75" spans="1:3">
      <c r="A75" t="s">
        <v>43</v>
      </c>
      <c r="B75" t="s">
        <v>279</v>
      </c>
      <c r="C75" t="s">
        <v>5</v>
      </c>
    </row>
    <row r="76" spans="1:3">
      <c r="A76" t="s">
        <v>43</v>
      </c>
      <c r="B76" t="s">
        <v>273</v>
      </c>
      <c r="C76" t="s">
        <v>5</v>
      </c>
    </row>
    <row r="77" spans="1:3">
      <c r="A77" t="s">
        <v>43</v>
      </c>
      <c r="B77" t="s">
        <v>274</v>
      </c>
      <c r="C77" t="s">
        <v>5</v>
      </c>
    </row>
    <row r="78" spans="1:3">
      <c r="A78" t="s">
        <v>43</v>
      </c>
      <c r="B78" t="s">
        <v>275</v>
      </c>
      <c r="C78" t="s">
        <v>5</v>
      </c>
    </row>
    <row r="79" spans="1:3">
      <c r="A79" t="s">
        <v>54</v>
      </c>
      <c r="B79" t="s">
        <v>266</v>
      </c>
      <c r="C79" t="s">
        <v>5</v>
      </c>
    </row>
    <row r="80" spans="1:3">
      <c r="A80" t="s">
        <v>54</v>
      </c>
      <c r="B80" t="s">
        <v>267</v>
      </c>
      <c r="C80" t="s">
        <v>5</v>
      </c>
    </row>
    <row r="81" spans="1:3">
      <c r="A81" t="s">
        <v>54</v>
      </c>
      <c r="B81" t="s">
        <v>268</v>
      </c>
      <c r="C81" t="s">
        <v>5</v>
      </c>
    </row>
    <row r="82" spans="1:3">
      <c r="A82" t="s">
        <v>54</v>
      </c>
      <c r="B82" t="s">
        <v>270</v>
      </c>
      <c r="C82" t="s">
        <v>5</v>
      </c>
    </row>
    <row r="83" spans="1:3">
      <c r="A83" t="s">
        <v>55</v>
      </c>
      <c r="B83" t="s">
        <v>266</v>
      </c>
      <c r="C83" t="s">
        <v>5</v>
      </c>
    </row>
    <row r="84" spans="1:3">
      <c r="A84" t="s">
        <v>55</v>
      </c>
      <c r="B84" t="s">
        <v>271</v>
      </c>
      <c r="C84" t="s">
        <v>5</v>
      </c>
    </row>
    <row r="85" spans="1:3">
      <c r="A85" t="s">
        <v>55</v>
      </c>
      <c r="B85" t="s">
        <v>267</v>
      </c>
      <c r="C85" t="s">
        <v>5</v>
      </c>
    </row>
    <row r="86" spans="1:3">
      <c r="A86" t="s">
        <v>55</v>
      </c>
      <c r="B86" t="s">
        <v>272</v>
      </c>
      <c r="C86" t="s">
        <v>5</v>
      </c>
    </row>
    <row r="87" spans="1:3">
      <c r="A87" t="s">
        <v>55</v>
      </c>
      <c r="B87" t="s">
        <v>268</v>
      </c>
      <c r="C87" t="s">
        <v>5</v>
      </c>
    </row>
    <row r="88" spans="1:3">
      <c r="A88" t="s">
        <v>55</v>
      </c>
      <c r="B88" t="s">
        <v>270</v>
      </c>
      <c r="C88" t="s">
        <v>5</v>
      </c>
    </row>
    <row r="89" spans="1:3">
      <c r="A89" t="s">
        <v>56</v>
      </c>
      <c r="B89" t="s">
        <v>266</v>
      </c>
      <c r="C89" t="s">
        <v>5</v>
      </c>
    </row>
    <row r="90" spans="1:3">
      <c r="A90" t="s">
        <v>56</v>
      </c>
      <c r="B90" t="s">
        <v>267</v>
      </c>
      <c r="C90" t="s">
        <v>5</v>
      </c>
    </row>
    <row r="91" spans="1:3">
      <c r="A91" t="s">
        <v>56</v>
      </c>
      <c r="B91" t="s">
        <v>268</v>
      </c>
      <c r="C91" t="s">
        <v>5</v>
      </c>
    </row>
    <row r="92" spans="1:3">
      <c r="A92" t="s">
        <v>56</v>
      </c>
      <c r="B92" t="s">
        <v>270</v>
      </c>
      <c r="C92" t="s">
        <v>5</v>
      </c>
    </row>
    <row r="93" spans="1:3">
      <c r="A93" t="s">
        <v>57</v>
      </c>
      <c r="B93" t="s">
        <v>266</v>
      </c>
      <c r="C93" t="s">
        <v>5</v>
      </c>
    </row>
    <row r="94" spans="1:3">
      <c r="A94" t="s">
        <v>57</v>
      </c>
      <c r="B94" t="s">
        <v>267</v>
      </c>
      <c r="C94" t="s">
        <v>5</v>
      </c>
    </row>
    <row r="95" spans="1:3">
      <c r="A95" t="s">
        <v>57</v>
      </c>
      <c r="B95" t="s">
        <v>268</v>
      </c>
      <c r="C95" t="s">
        <v>5</v>
      </c>
    </row>
    <row r="96" spans="1:3">
      <c r="A96" t="s">
        <v>57</v>
      </c>
      <c r="B96" t="s">
        <v>270</v>
      </c>
      <c r="C96" t="s">
        <v>5</v>
      </c>
    </row>
    <row r="97" spans="1:3">
      <c r="A97" t="s">
        <v>58</v>
      </c>
      <c r="B97" t="s">
        <v>266</v>
      </c>
      <c r="C97" t="s">
        <v>5</v>
      </c>
    </row>
    <row r="98" spans="1:3">
      <c r="A98" t="s">
        <v>58</v>
      </c>
      <c r="B98" t="s">
        <v>267</v>
      </c>
      <c r="C98" t="s">
        <v>5</v>
      </c>
    </row>
    <row r="99" spans="1:3">
      <c r="A99" t="s">
        <v>58</v>
      </c>
      <c r="B99" t="s">
        <v>268</v>
      </c>
      <c r="C99" t="s">
        <v>5</v>
      </c>
    </row>
    <row r="100" spans="1:3">
      <c r="A100" t="s">
        <v>58</v>
      </c>
      <c r="B100" t="s">
        <v>270</v>
      </c>
      <c r="C100" t="s">
        <v>5</v>
      </c>
    </row>
    <row r="101" spans="1:3">
      <c r="A101" t="s">
        <v>59</v>
      </c>
      <c r="B101" t="s">
        <v>266</v>
      </c>
      <c r="C101" t="s">
        <v>5</v>
      </c>
    </row>
    <row r="102" spans="1:3">
      <c r="A102" t="s">
        <v>59</v>
      </c>
      <c r="B102" t="s">
        <v>267</v>
      </c>
      <c r="C102" t="s">
        <v>5</v>
      </c>
    </row>
    <row r="103" spans="1:3">
      <c r="A103" t="s">
        <v>59</v>
      </c>
      <c r="B103" t="s">
        <v>268</v>
      </c>
      <c r="C103" t="s">
        <v>5</v>
      </c>
    </row>
    <row r="104" spans="1:3">
      <c r="A104" t="s">
        <v>59</v>
      </c>
      <c r="B104" t="s">
        <v>270</v>
      </c>
      <c r="C104" t="s">
        <v>5</v>
      </c>
    </row>
    <row r="105" spans="1:3">
      <c r="A105" t="s">
        <v>60</v>
      </c>
      <c r="B105" t="s">
        <v>266</v>
      </c>
      <c r="C105" t="s">
        <v>5</v>
      </c>
    </row>
    <row r="106" spans="1:3">
      <c r="A106" t="s">
        <v>60</v>
      </c>
      <c r="B106" t="s">
        <v>271</v>
      </c>
      <c r="C106" t="s">
        <v>5</v>
      </c>
    </row>
    <row r="107" spans="1:3">
      <c r="A107" t="s">
        <v>60</v>
      </c>
      <c r="B107" t="s">
        <v>267</v>
      </c>
      <c r="C107" t="s">
        <v>5</v>
      </c>
    </row>
    <row r="108" spans="1:3">
      <c r="A108" t="s">
        <v>60</v>
      </c>
      <c r="B108" t="s">
        <v>272</v>
      </c>
      <c r="C108" t="s">
        <v>5</v>
      </c>
    </row>
    <row r="109" spans="1:3">
      <c r="A109" t="s">
        <v>60</v>
      </c>
      <c r="B109" t="s">
        <v>268</v>
      </c>
      <c r="C109" t="s">
        <v>5</v>
      </c>
    </row>
    <row r="110" spans="1:3">
      <c r="A110" t="s">
        <v>60</v>
      </c>
      <c r="B110" t="s">
        <v>269</v>
      </c>
      <c r="C110" t="s">
        <v>5</v>
      </c>
    </row>
    <row r="111" spans="1:3">
      <c r="A111" t="s">
        <v>60</v>
      </c>
      <c r="B111" t="s">
        <v>275</v>
      </c>
      <c r="C111" t="s">
        <v>5</v>
      </c>
    </row>
    <row r="112" spans="1:3">
      <c r="A112" t="s">
        <v>62</v>
      </c>
      <c r="B112" t="s">
        <v>266</v>
      </c>
      <c r="C112" t="s">
        <v>5</v>
      </c>
    </row>
    <row r="113" spans="1:3">
      <c r="A113" t="s">
        <v>62</v>
      </c>
      <c r="B113" t="s">
        <v>271</v>
      </c>
      <c r="C113" t="s">
        <v>5</v>
      </c>
    </row>
    <row r="114" spans="1:3">
      <c r="A114" t="s">
        <v>62</v>
      </c>
      <c r="B114" t="s">
        <v>267</v>
      </c>
      <c r="C114" t="s">
        <v>5</v>
      </c>
    </row>
    <row r="115" spans="1:3">
      <c r="A115" t="s">
        <v>62</v>
      </c>
      <c r="B115" t="s">
        <v>272</v>
      </c>
      <c r="C115" t="s">
        <v>5</v>
      </c>
    </row>
    <row r="116" spans="1:3">
      <c r="A116" t="s">
        <v>62</v>
      </c>
      <c r="B116" t="s">
        <v>268</v>
      </c>
      <c r="C116" t="s">
        <v>5</v>
      </c>
    </row>
    <row r="117" spans="1:3">
      <c r="A117" t="s">
        <v>62</v>
      </c>
      <c r="B117" t="s">
        <v>269</v>
      </c>
      <c r="C117" t="s">
        <v>5</v>
      </c>
    </row>
    <row r="118" spans="1:3">
      <c r="A118" t="s">
        <v>62</v>
      </c>
      <c r="B118" t="s">
        <v>270</v>
      </c>
      <c r="C118" t="s">
        <v>5</v>
      </c>
    </row>
    <row r="119" spans="1:3">
      <c r="A119" t="s">
        <v>62</v>
      </c>
      <c r="B119" t="s">
        <v>273</v>
      </c>
      <c r="C119" t="s">
        <v>5</v>
      </c>
    </row>
    <row r="120" spans="1:3">
      <c r="A120" t="s">
        <v>62</v>
      </c>
      <c r="B120" t="s">
        <v>274</v>
      </c>
      <c r="C120" t="s">
        <v>5</v>
      </c>
    </row>
    <row r="121" spans="1:3">
      <c r="A121" t="s">
        <v>63</v>
      </c>
      <c r="B121" t="s">
        <v>271</v>
      </c>
      <c r="C121" t="s">
        <v>5</v>
      </c>
    </row>
    <row r="122" spans="1:3">
      <c r="A122" t="s">
        <v>63</v>
      </c>
      <c r="B122" t="s">
        <v>272</v>
      </c>
      <c r="C122" t="s">
        <v>5</v>
      </c>
    </row>
    <row r="123" spans="1:3">
      <c r="A123" t="s">
        <v>63</v>
      </c>
      <c r="B123" t="s">
        <v>269</v>
      </c>
      <c r="C123" t="s">
        <v>5</v>
      </c>
    </row>
    <row r="124" spans="1:3">
      <c r="A124" t="s">
        <v>63</v>
      </c>
      <c r="B124" t="s">
        <v>274</v>
      </c>
      <c r="C124" t="s">
        <v>5</v>
      </c>
    </row>
    <row r="125" spans="1:3">
      <c r="A125" t="s">
        <v>63</v>
      </c>
      <c r="B125" t="s">
        <v>275</v>
      </c>
      <c r="C125" t="s">
        <v>5</v>
      </c>
    </row>
    <row r="126" spans="1:3">
      <c r="A126" t="s">
        <v>64</v>
      </c>
      <c r="B126" t="s">
        <v>266</v>
      </c>
      <c r="C126" t="s">
        <v>5</v>
      </c>
    </row>
    <row r="127" spans="1:3">
      <c r="A127" t="s">
        <v>64</v>
      </c>
      <c r="B127" t="s">
        <v>267</v>
      </c>
      <c r="C127" t="s">
        <v>5</v>
      </c>
    </row>
    <row r="128" spans="1:3">
      <c r="A128" t="s">
        <v>64</v>
      </c>
      <c r="B128" t="s">
        <v>268</v>
      </c>
      <c r="C128" t="s">
        <v>5</v>
      </c>
    </row>
    <row r="129" spans="1:3">
      <c r="A129" t="s">
        <v>64</v>
      </c>
      <c r="B129" t="s">
        <v>270</v>
      </c>
      <c r="C129" t="s">
        <v>5</v>
      </c>
    </row>
    <row r="130" spans="1:3">
      <c r="A130" t="s">
        <v>65</v>
      </c>
      <c r="B130" t="s">
        <v>266</v>
      </c>
      <c r="C130" t="s">
        <v>5</v>
      </c>
    </row>
    <row r="131" spans="1:3">
      <c r="A131" t="s">
        <v>65</v>
      </c>
      <c r="B131" t="s">
        <v>267</v>
      </c>
      <c r="C131" t="s">
        <v>5</v>
      </c>
    </row>
    <row r="132" spans="1:3">
      <c r="A132" t="s">
        <v>65</v>
      </c>
      <c r="B132" t="s">
        <v>268</v>
      </c>
      <c r="C132" t="s">
        <v>5</v>
      </c>
    </row>
    <row r="133" spans="1:3">
      <c r="A133" t="s">
        <v>65</v>
      </c>
      <c r="B133" t="s">
        <v>270</v>
      </c>
      <c r="C133" t="s">
        <v>5</v>
      </c>
    </row>
    <row r="134" spans="1:3">
      <c r="A134" t="s">
        <v>66</v>
      </c>
      <c r="B134" t="s">
        <v>266</v>
      </c>
      <c r="C134" t="s">
        <v>5</v>
      </c>
    </row>
    <row r="135" spans="1:3">
      <c r="A135" t="s">
        <v>66</v>
      </c>
      <c r="B135" t="s">
        <v>267</v>
      </c>
      <c r="C135" t="s">
        <v>5</v>
      </c>
    </row>
    <row r="136" spans="1:3">
      <c r="A136" t="s">
        <v>66</v>
      </c>
      <c r="B136" t="s">
        <v>268</v>
      </c>
      <c r="C136" t="s">
        <v>5</v>
      </c>
    </row>
    <row r="137" spans="1:3">
      <c r="A137" t="s">
        <v>66</v>
      </c>
      <c r="B137" t="s">
        <v>270</v>
      </c>
      <c r="C137" t="s">
        <v>5</v>
      </c>
    </row>
    <row r="138" spans="1:3">
      <c r="A138" t="s">
        <v>67</v>
      </c>
      <c r="B138" t="s">
        <v>266</v>
      </c>
      <c r="C138" t="s">
        <v>5</v>
      </c>
    </row>
    <row r="139" spans="1:3">
      <c r="A139" t="s">
        <v>67</v>
      </c>
      <c r="B139" t="s">
        <v>267</v>
      </c>
      <c r="C139" t="s">
        <v>5</v>
      </c>
    </row>
    <row r="140" spans="1:3">
      <c r="A140" t="s">
        <v>67</v>
      </c>
      <c r="B140" t="s">
        <v>268</v>
      </c>
      <c r="C140" t="s">
        <v>5</v>
      </c>
    </row>
    <row r="141" spans="1:3">
      <c r="A141" t="s">
        <v>67</v>
      </c>
      <c r="B141" t="s">
        <v>270</v>
      </c>
      <c r="C141" t="s">
        <v>5</v>
      </c>
    </row>
    <row r="142" spans="1:3">
      <c r="A142" t="s">
        <v>68</v>
      </c>
      <c r="B142" t="s">
        <v>266</v>
      </c>
      <c r="C142" t="s">
        <v>5</v>
      </c>
    </row>
    <row r="143" spans="1:3">
      <c r="A143" t="s">
        <v>68</v>
      </c>
      <c r="B143" t="s">
        <v>267</v>
      </c>
      <c r="C143" t="s">
        <v>5</v>
      </c>
    </row>
    <row r="144" spans="1:3">
      <c r="A144" t="s">
        <v>68</v>
      </c>
      <c r="B144" t="s">
        <v>268</v>
      </c>
      <c r="C144" t="s">
        <v>5</v>
      </c>
    </row>
    <row r="145" spans="1:3">
      <c r="A145" t="s">
        <v>68</v>
      </c>
      <c r="B145" t="s">
        <v>270</v>
      </c>
      <c r="C145" t="s">
        <v>5</v>
      </c>
    </row>
    <row r="146" spans="1:3">
      <c r="A146" t="s">
        <v>69</v>
      </c>
      <c r="B146" t="s">
        <v>266</v>
      </c>
      <c r="C146" t="s">
        <v>5</v>
      </c>
    </row>
    <row r="147" spans="1:3">
      <c r="A147" t="s">
        <v>69</v>
      </c>
      <c r="B147" t="s">
        <v>267</v>
      </c>
      <c r="C147" t="s">
        <v>5</v>
      </c>
    </row>
    <row r="148" spans="1:3">
      <c r="A148" t="s">
        <v>69</v>
      </c>
      <c r="B148" t="s">
        <v>268</v>
      </c>
      <c r="C148" t="s">
        <v>5</v>
      </c>
    </row>
    <row r="149" spans="1:3">
      <c r="A149" t="s">
        <v>69</v>
      </c>
      <c r="B149" t="s">
        <v>270</v>
      </c>
      <c r="C149" t="s">
        <v>5</v>
      </c>
    </row>
    <row r="150" spans="1:3">
      <c r="A150" t="s">
        <v>70</v>
      </c>
      <c r="B150" t="s">
        <v>266</v>
      </c>
      <c r="C150" t="s">
        <v>5</v>
      </c>
    </row>
    <row r="151" spans="1:3">
      <c r="A151" t="s">
        <v>70</v>
      </c>
      <c r="B151" t="s">
        <v>267</v>
      </c>
      <c r="C151" t="s">
        <v>5</v>
      </c>
    </row>
    <row r="152" spans="1:3">
      <c r="A152" t="s">
        <v>70</v>
      </c>
      <c r="B152" t="s">
        <v>268</v>
      </c>
      <c r="C152" t="s">
        <v>5</v>
      </c>
    </row>
    <row r="153" spans="1:3">
      <c r="A153" t="s">
        <v>70</v>
      </c>
      <c r="B153" t="s">
        <v>270</v>
      </c>
      <c r="C153" t="s">
        <v>5</v>
      </c>
    </row>
    <row r="154" spans="1:3">
      <c r="A154" t="s">
        <v>71</v>
      </c>
      <c r="B154" t="s">
        <v>266</v>
      </c>
      <c r="C154" t="s">
        <v>5</v>
      </c>
    </row>
    <row r="155" spans="1:3">
      <c r="A155" t="s">
        <v>71</v>
      </c>
      <c r="B155" t="s">
        <v>267</v>
      </c>
      <c r="C155" t="s">
        <v>5</v>
      </c>
    </row>
    <row r="156" spans="1:3">
      <c r="A156" t="s">
        <v>71</v>
      </c>
      <c r="B156" t="s">
        <v>268</v>
      </c>
      <c r="C156" t="s">
        <v>5</v>
      </c>
    </row>
    <row r="157" spans="1:3">
      <c r="A157" t="s">
        <v>71</v>
      </c>
      <c r="B157" t="s">
        <v>270</v>
      </c>
      <c r="C157" t="s">
        <v>5</v>
      </c>
    </row>
    <row r="158" spans="1:3">
      <c r="A158" t="s">
        <v>72</v>
      </c>
      <c r="B158" t="s">
        <v>266</v>
      </c>
      <c r="C158" t="s">
        <v>5</v>
      </c>
    </row>
    <row r="159" spans="1:3">
      <c r="A159" t="s">
        <v>72</v>
      </c>
      <c r="B159" t="s">
        <v>267</v>
      </c>
      <c r="C159" t="s">
        <v>5</v>
      </c>
    </row>
    <row r="160" spans="1:3">
      <c r="A160" t="s">
        <v>72</v>
      </c>
      <c r="B160" t="s">
        <v>268</v>
      </c>
      <c r="C160" t="s">
        <v>5</v>
      </c>
    </row>
    <row r="161" spans="1:3">
      <c r="A161" t="s">
        <v>72</v>
      </c>
      <c r="B161" t="s">
        <v>270</v>
      </c>
      <c r="C161" t="s">
        <v>5</v>
      </c>
    </row>
    <row r="162" spans="1:3">
      <c r="A162" t="s">
        <v>73</v>
      </c>
      <c r="B162" t="s">
        <v>266</v>
      </c>
      <c r="C162" t="s">
        <v>5</v>
      </c>
    </row>
    <row r="163" spans="1:3">
      <c r="A163" t="s">
        <v>73</v>
      </c>
      <c r="B163" t="s">
        <v>267</v>
      </c>
      <c r="C163" t="s">
        <v>5</v>
      </c>
    </row>
    <row r="164" spans="1:3">
      <c r="A164" t="s">
        <v>73</v>
      </c>
      <c r="B164" t="s">
        <v>268</v>
      </c>
      <c r="C164" t="s">
        <v>5</v>
      </c>
    </row>
    <row r="165" spans="1:3">
      <c r="A165" t="s">
        <v>73</v>
      </c>
      <c r="B165" t="s">
        <v>270</v>
      </c>
      <c r="C165" t="s">
        <v>5</v>
      </c>
    </row>
    <row r="166" spans="1:3">
      <c r="A166" t="s">
        <v>74</v>
      </c>
      <c r="B166" t="s">
        <v>266</v>
      </c>
      <c r="C166" t="s">
        <v>5</v>
      </c>
    </row>
    <row r="167" spans="1:3">
      <c r="A167" t="s">
        <v>74</v>
      </c>
      <c r="B167" t="s">
        <v>267</v>
      </c>
      <c r="C167" t="s">
        <v>5</v>
      </c>
    </row>
    <row r="168" spans="1:3">
      <c r="A168" t="s">
        <v>74</v>
      </c>
      <c r="B168" t="s">
        <v>268</v>
      </c>
      <c r="C168" t="s">
        <v>5</v>
      </c>
    </row>
    <row r="169" spans="1:3">
      <c r="A169" t="s">
        <v>74</v>
      </c>
      <c r="B169" t="s">
        <v>270</v>
      </c>
      <c r="C169" t="s">
        <v>5</v>
      </c>
    </row>
    <row r="170" spans="1:3">
      <c r="A170" t="s">
        <v>75</v>
      </c>
      <c r="B170" t="s">
        <v>266</v>
      </c>
      <c r="C170" t="s">
        <v>5</v>
      </c>
    </row>
    <row r="171" spans="1:3">
      <c r="A171" t="s">
        <v>75</v>
      </c>
      <c r="B171" t="s">
        <v>267</v>
      </c>
      <c r="C171" t="s">
        <v>5</v>
      </c>
    </row>
    <row r="172" spans="1:3">
      <c r="A172" t="s">
        <v>75</v>
      </c>
      <c r="B172" t="s">
        <v>268</v>
      </c>
      <c r="C172" t="s">
        <v>5</v>
      </c>
    </row>
    <row r="173" spans="1:3">
      <c r="A173" t="s">
        <v>75</v>
      </c>
      <c r="B173" t="s">
        <v>270</v>
      </c>
      <c r="C173" t="s">
        <v>5</v>
      </c>
    </row>
    <row r="174" spans="1:3">
      <c r="A174" t="s">
        <v>280</v>
      </c>
      <c r="B174" t="s">
        <v>266</v>
      </c>
      <c r="C174" t="s">
        <v>5</v>
      </c>
    </row>
    <row r="175" spans="1:3">
      <c r="A175" t="s">
        <v>280</v>
      </c>
      <c r="B175" t="s">
        <v>267</v>
      </c>
      <c r="C175" t="s">
        <v>5</v>
      </c>
    </row>
    <row r="176" spans="1:3">
      <c r="A176" t="s">
        <v>280</v>
      </c>
      <c r="B176" t="s">
        <v>268</v>
      </c>
      <c r="C176" t="s">
        <v>5</v>
      </c>
    </row>
    <row r="177" spans="1:3">
      <c r="A177" t="s">
        <v>280</v>
      </c>
      <c r="B177" t="s">
        <v>270</v>
      </c>
      <c r="C177" t="s">
        <v>5</v>
      </c>
    </row>
    <row r="178" spans="1:3">
      <c r="A178" t="s">
        <v>77</v>
      </c>
      <c r="B178" t="s">
        <v>269</v>
      </c>
      <c r="C178" t="s">
        <v>5</v>
      </c>
    </row>
    <row r="179" spans="1:3">
      <c r="A179" t="s">
        <v>78</v>
      </c>
      <c r="B179" t="s">
        <v>271</v>
      </c>
      <c r="C179" t="s">
        <v>5</v>
      </c>
    </row>
    <row r="180" spans="1:3">
      <c r="A180" t="s">
        <v>78</v>
      </c>
      <c r="B180" t="s">
        <v>272</v>
      </c>
      <c r="C180" t="s">
        <v>5</v>
      </c>
    </row>
    <row r="181" spans="1:3">
      <c r="A181" t="s">
        <v>78</v>
      </c>
      <c r="B181" t="s">
        <v>269</v>
      </c>
      <c r="C181" t="s">
        <v>5</v>
      </c>
    </row>
    <row r="182" spans="1:3">
      <c r="A182" t="s">
        <v>78</v>
      </c>
      <c r="B182" t="s">
        <v>275</v>
      </c>
      <c r="C182" t="s">
        <v>5</v>
      </c>
    </row>
    <row r="183" spans="1:3">
      <c r="A183" t="s">
        <v>79</v>
      </c>
      <c r="B183" t="s">
        <v>266</v>
      </c>
      <c r="C183" t="s">
        <v>5</v>
      </c>
    </row>
    <row r="184" spans="1:3">
      <c r="A184" t="s">
        <v>79</v>
      </c>
      <c r="B184" t="s">
        <v>267</v>
      </c>
      <c r="C184" t="s">
        <v>5</v>
      </c>
    </row>
    <row r="185" spans="1:3">
      <c r="A185" t="s">
        <v>79</v>
      </c>
      <c r="B185" t="s">
        <v>268</v>
      </c>
      <c r="C185" t="s">
        <v>5</v>
      </c>
    </row>
    <row r="186" spans="1:3">
      <c r="A186" t="s">
        <v>79</v>
      </c>
      <c r="B186" t="s">
        <v>270</v>
      </c>
      <c r="C186" t="s">
        <v>5</v>
      </c>
    </row>
    <row r="187" spans="1:3">
      <c r="A187" t="s">
        <v>80</v>
      </c>
      <c r="B187" t="s">
        <v>266</v>
      </c>
      <c r="C187" t="s">
        <v>5</v>
      </c>
    </row>
    <row r="188" spans="1:3">
      <c r="A188" t="s">
        <v>80</v>
      </c>
      <c r="B188" t="s">
        <v>267</v>
      </c>
      <c r="C188" t="s">
        <v>5</v>
      </c>
    </row>
    <row r="189" spans="1:3">
      <c r="A189" t="s">
        <v>80</v>
      </c>
      <c r="B189" t="s">
        <v>268</v>
      </c>
      <c r="C189" t="s">
        <v>5</v>
      </c>
    </row>
    <row r="190" spans="1:3">
      <c r="A190" t="s">
        <v>80</v>
      </c>
      <c r="B190" t="s">
        <v>270</v>
      </c>
      <c r="C190" t="s">
        <v>5</v>
      </c>
    </row>
    <row r="191" spans="1:3">
      <c r="A191" t="s">
        <v>281</v>
      </c>
      <c r="B191" t="s">
        <v>282</v>
      </c>
      <c r="C191" t="s">
        <v>5</v>
      </c>
    </row>
    <row r="192" spans="1:3">
      <c r="A192" t="s">
        <v>281</v>
      </c>
      <c r="B192" t="s">
        <v>283</v>
      </c>
      <c r="C192" t="s">
        <v>5</v>
      </c>
    </row>
    <row r="193" spans="1:3">
      <c r="A193" t="s">
        <v>281</v>
      </c>
      <c r="B193" t="s">
        <v>284</v>
      </c>
      <c r="C193" t="s">
        <v>5</v>
      </c>
    </row>
    <row r="194" spans="1:3">
      <c r="A194" t="s">
        <v>281</v>
      </c>
      <c r="B194" t="s">
        <v>285</v>
      </c>
      <c r="C194" t="s">
        <v>5</v>
      </c>
    </row>
    <row r="195" spans="1:3">
      <c r="A195" t="s">
        <v>281</v>
      </c>
      <c r="B195" t="s">
        <v>286</v>
      </c>
      <c r="C195" t="s">
        <v>5</v>
      </c>
    </row>
    <row r="196" spans="1:3">
      <c r="A196" t="s">
        <v>281</v>
      </c>
      <c r="B196" t="s">
        <v>287</v>
      </c>
      <c r="C196" t="s">
        <v>5</v>
      </c>
    </row>
    <row r="197" spans="1:3">
      <c r="A197" t="s">
        <v>82</v>
      </c>
      <c r="B197" t="s">
        <v>266</v>
      </c>
      <c r="C197" t="s">
        <v>5</v>
      </c>
    </row>
    <row r="198" spans="1:3">
      <c r="A198" t="s">
        <v>82</v>
      </c>
      <c r="B198" t="s">
        <v>267</v>
      </c>
      <c r="C198" t="s">
        <v>5</v>
      </c>
    </row>
    <row r="199" spans="1:3">
      <c r="A199" t="s">
        <v>82</v>
      </c>
      <c r="B199" t="s">
        <v>268</v>
      </c>
      <c r="C199" t="s">
        <v>5</v>
      </c>
    </row>
    <row r="200" spans="1:3">
      <c r="A200" t="s">
        <v>82</v>
      </c>
      <c r="B200" t="s">
        <v>270</v>
      </c>
      <c r="C200" t="s">
        <v>5</v>
      </c>
    </row>
    <row r="201" spans="1:3">
      <c r="A201" t="s">
        <v>83</v>
      </c>
      <c r="B201" t="s">
        <v>266</v>
      </c>
      <c r="C201" t="s">
        <v>5</v>
      </c>
    </row>
    <row r="202" spans="1:3">
      <c r="A202" t="s">
        <v>83</v>
      </c>
      <c r="B202" t="s">
        <v>267</v>
      </c>
      <c r="C202" t="s">
        <v>5</v>
      </c>
    </row>
    <row r="203" spans="1:3">
      <c r="A203" t="s">
        <v>83</v>
      </c>
      <c r="B203" t="s">
        <v>268</v>
      </c>
      <c r="C203" t="s">
        <v>5</v>
      </c>
    </row>
    <row r="204" spans="1:3">
      <c r="A204" t="s">
        <v>83</v>
      </c>
      <c r="B204" t="s">
        <v>270</v>
      </c>
      <c r="C204" t="s">
        <v>5</v>
      </c>
    </row>
    <row r="205" spans="1:3">
      <c r="A205" t="s">
        <v>84</v>
      </c>
      <c r="B205" t="s">
        <v>266</v>
      </c>
      <c r="C205" t="s">
        <v>5</v>
      </c>
    </row>
    <row r="206" spans="1:3">
      <c r="A206" t="s">
        <v>84</v>
      </c>
      <c r="B206" t="s">
        <v>267</v>
      </c>
      <c r="C206" t="s">
        <v>5</v>
      </c>
    </row>
    <row r="207" spans="1:3">
      <c r="A207" t="s">
        <v>84</v>
      </c>
      <c r="B207" t="s">
        <v>268</v>
      </c>
      <c r="C207" t="s">
        <v>5</v>
      </c>
    </row>
    <row r="208" spans="1:3">
      <c r="A208" t="s">
        <v>84</v>
      </c>
      <c r="B208" t="s">
        <v>270</v>
      </c>
      <c r="C208" t="s">
        <v>5</v>
      </c>
    </row>
    <row r="209" spans="1:3">
      <c r="A209" t="s">
        <v>84</v>
      </c>
      <c r="B209" t="s">
        <v>274</v>
      </c>
      <c r="C209" t="s">
        <v>5</v>
      </c>
    </row>
    <row r="210" spans="1:3">
      <c r="A210" t="s">
        <v>84</v>
      </c>
      <c r="B210" t="s">
        <v>275</v>
      </c>
      <c r="C210" t="s">
        <v>5</v>
      </c>
    </row>
    <row r="211" spans="1:3">
      <c r="A211" t="s">
        <v>85</v>
      </c>
      <c r="B211" t="s">
        <v>266</v>
      </c>
      <c r="C211" t="s">
        <v>5</v>
      </c>
    </row>
    <row r="212" spans="1:3">
      <c r="A212" t="s">
        <v>85</v>
      </c>
      <c r="B212" t="s">
        <v>267</v>
      </c>
      <c r="C212" t="s">
        <v>5</v>
      </c>
    </row>
    <row r="213" spans="1:3">
      <c r="A213" t="s">
        <v>85</v>
      </c>
      <c r="B213" t="s">
        <v>268</v>
      </c>
      <c r="C213" t="s">
        <v>5</v>
      </c>
    </row>
    <row r="214" spans="1:3">
      <c r="A214" t="s">
        <v>85</v>
      </c>
      <c r="B214" t="s">
        <v>270</v>
      </c>
      <c r="C214" t="s">
        <v>5</v>
      </c>
    </row>
    <row r="215" spans="1:3">
      <c r="A215" t="s">
        <v>86</v>
      </c>
      <c r="B215" t="s">
        <v>266</v>
      </c>
      <c r="C215" t="s">
        <v>5</v>
      </c>
    </row>
    <row r="216" spans="1:3">
      <c r="A216" t="s">
        <v>86</v>
      </c>
      <c r="B216" t="s">
        <v>267</v>
      </c>
      <c r="C216" t="s">
        <v>5</v>
      </c>
    </row>
    <row r="217" spans="1:3">
      <c r="A217" t="s">
        <v>86</v>
      </c>
      <c r="B217" t="s">
        <v>268</v>
      </c>
      <c r="C217" t="s">
        <v>5</v>
      </c>
    </row>
    <row r="218" spans="1:3">
      <c r="A218" t="s">
        <v>86</v>
      </c>
      <c r="B218" t="s">
        <v>270</v>
      </c>
      <c r="C218" t="s">
        <v>5</v>
      </c>
    </row>
    <row r="219" spans="1:3">
      <c r="A219" t="s">
        <v>87</v>
      </c>
      <c r="B219" t="s">
        <v>266</v>
      </c>
      <c r="C219" t="s">
        <v>5</v>
      </c>
    </row>
    <row r="220" spans="1:3">
      <c r="A220" t="s">
        <v>87</v>
      </c>
      <c r="B220" t="s">
        <v>267</v>
      </c>
      <c r="C220" t="s">
        <v>5</v>
      </c>
    </row>
    <row r="221" spans="1:3">
      <c r="A221" t="s">
        <v>87</v>
      </c>
      <c r="B221" t="s">
        <v>268</v>
      </c>
      <c r="C221" t="s">
        <v>5</v>
      </c>
    </row>
    <row r="222" spans="1:3">
      <c r="A222" t="s">
        <v>87</v>
      </c>
      <c r="B222" t="s">
        <v>270</v>
      </c>
      <c r="C222" t="s">
        <v>5</v>
      </c>
    </row>
    <row r="223" spans="1:3">
      <c r="A223" t="s">
        <v>288</v>
      </c>
      <c r="B223" t="s">
        <v>266</v>
      </c>
      <c r="C223" t="s">
        <v>5</v>
      </c>
    </row>
    <row r="224" spans="1:3">
      <c r="A224" t="s">
        <v>288</v>
      </c>
      <c r="B224" t="s">
        <v>267</v>
      </c>
      <c r="C224" t="s">
        <v>5</v>
      </c>
    </row>
    <row r="225" spans="1:3">
      <c r="A225" t="s">
        <v>288</v>
      </c>
      <c r="B225" t="s">
        <v>268</v>
      </c>
      <c r="C225" t="s">
        <v>5</v>
      </c>
    </row>
    <row r="226" spans="1:3">
      <c r="A226" t="s">
        <v>288</v>
      </c>
      <c r="B226" t="s">
        <v>270</v>
      </c>
      <c r="C226" t="s">
        <v>5</v>
      </c>
    </row>
    <row r="227" spans="1:3">
      <c r="A227" t="s">
        <v>90</v>
      </c>
      <c r="B227" t="s">
        <v>266</v>
      </c>
      <c r="C227" t="s">
        <v>5</v>
      </c>
    </row>
    <row r="228" spans="1:3">
      <c r="A228" t="s">
        <v>90</v>
      </c>
      <c r="B228" t="s">
        <v>267</v>
      </c>
      <c r="C228" t="s">
        <v>5</v>
      </c>
    </row>
    <row r="229" spans="1:3">
      <c r="A229" t="s">
        <v>90</v>
      </c>
      <c r="B229" t="s">
        <v>268</v>
      </c>
      <c r="C229" t="s">
        <v>5</v>
      </c>
    </row>
    <row r="230" spans="1:3">
      <c r="A230" t="s">
        <v>90</v>
      </c>
      <c r="B230" t="s">
        <v>270</v>
      </c>
      <c r="C230" t="s">
        <v>5</v>
      </c>
    </row>
    <row r="231" spans="1:3">
      <c r="A231" t="s">
        <v>91</v>
      </c>
      <c r="B231" t="s">
        <v>266</v>
      </c>
      <c r="C231" t="s">
        <v>5</v>
      </c>
    </row>
    <row r="232" spans="1:3">
      <c r="A232" t="s">
        <v>91</v>
      </c>
      <c r="B232" t="s">
        <v>267</v>
      </c>
      <c r="C232" t="s">
        <v>5</v>
      </c>
    </row>
    <row r="233" spans="1:3">
      <c r="A233" t="s">
        <v>91</v>
      </c>
      <c r="B233" t="s">
        <v>268</v>
      </c>
      <c r="C233" t="s">
        <v>5</v>
      </c>
    </row>
    <row r="234" spans="1:3">
      <c r="A234" t="s">
        <v>91</v>
      </c>
      <c r="B234" t="s">
        <v>270</v>
      </c>
      <c r="C234" t="s">
        <v>5</v>
      </c>
    </row>
    <row r="235" spans="1:3">
      <c r="A235" t="s">
        <v>92</v>
      </c>
      <c r="B235" t="s">
        <v>266</v>
      </c>
      <c r="C235" t="s">
        <v>5</v>
      </c>
    </row>
    <row r="236" spans="1:3">
      <c r="A236" t="s">
        <v>92</v>
      </c>
      <c r="B236" t="s">
        <v>267</v>
      </c>
      <c r="C236" t="s">
        <v>5</v>
      </c>
    </row>
    <row r="237" spans="1:3">
      <c r="A237" t="s">
        <v>92</v>
      </c>
      <c r="B237" t="s">
        <v>268</v>
      </c>
      <c r="C237" t="s">
        <v>5</v>
      </c>
    </row>
    <row r="238" spans="1:3">
      <c r="A238" t="s">
        <v>92</v>
      </c>
      <c r="B238" t="s">
        <v>270</v>
      </c>
      <c r="C238" t="s">
        <v>5</v>
      </c>
    </row>
    <row r="239" spans="1:3">
      <c r="A239" t="s">
        <v>93</v>
      </c>
      <c r="B239" t="s">
        <v>266</v>
      </c>
      <c r="C239" t="s">
        <v>5</v>
      </c>
    </row>
    <row r="240" spans="1:3">
      <c r="A240" t="s">
        <v>93</v>
      </c>
      <c r="B240" t="s">
        <v>271</v>
      </c>
      <c r="C240" t="s">
        <v>5</v>
      </c>
    </row>
    <row r="241" spans="1:3">
      <c r="A241" t="s">
        <v>93</v>
      </c>
      <c r="B241" t="s">
        <v>267</v>
      </c>
      <c r="C241" t="s">
        <v>5</v>
      </c>
    </row>
    <row r="242" spans="1:3">
      <c r="A242" t="s">
        <v>93</v>
      </c>
      <c r="B242" t="s">
        <v>272</v>
      </c>
      <c r="C242" t="s">
        <v>5</v>
      </c>
    </row>
    <row r="243" spans="1:3">
      <c r="A243" t="s">
        <v>93</v>
      </c>
      <c r="B243" t="s">
        <v>268</v>
      </c>
      <c r="C243" t="s">
        <v>5</v>
      </c>
    </row>
    <row r="244" spans="1:3">
      <c r="A244" t="s">
        <v>93</v>
      </c>
      <c r="B244" t="s">
        <v>269</v>
      </c>
      <c r="C244" t="s">
        <v>5</v>
      </c>
    </row>
    <row r="245" spans="1:3">
      <c r="A245" t="s">
        <v>93</v>
      </c>
      <c r="B245" t="s">
        <v>270</v>
      </c>
      <c r="C245" t="s">
        <v>5</v>
      </c>
    </row>
    <row r="246" spans="1:3">
      <c r="A246" t="s">
        <v>93</v>
      </c>
      <c r="B246" t="s">
        <v>273</v>
      </c>
      <c r="C246" t="s">
        <v>5</v>
      </c>
    </row>
    <row r="247" spans="1:3">
      <c r="A247" t="s">
        <v>93</v>
      </c>
      <c r="B247" t="s">
        <v>274</v>
      </c>
      <c r="C247" t="s">
        <v>5</v>
      </c>
    </row>
    <row r="248" spans="1:3">
      <c r="A248" t="s">
        <v>93</v>
      </c>
      <c r="B248" t="s">
        <v>275</v>
      </c>
      <c r="C248" t="s">
        <v>5</v>
      </c>
    </row>
    <row r="249" spans="1:3">
      <c r="A249" t="s">
        <v>94</v>
      </c>
      <c r="B249" t="s">
        <v>266</v>
      </c>
      <c r="C249" t="s">
        <v>5</v>
      </c>
    </row>
    <row r="250" spans="1:3">
      <c r="A250" t="s">
        <v>94</v>
      </c>
      <c r="B250" t="s">
        <v>267</v>
      </c>
      <c r="C250" t="s">
        <v>5</v>
      </c>
    </row>
    <row r="251" spans="1:3">
      <c r="A251" t="s">
        <v>94</v>
      </c>
      <c r="B251" t="s">
        <v>268</v>
      </c>
      <c r="C251" t="s">
        <v>5</v>
      </c>
    </row>
    <row r="252" spans="1:3">
      <c r="A252" t="s">
        <v>94</v>
      </c>
      <c r="B252" t="s">
        <v>270</v>
      </c>
      <c r="C252" t="s">
        <v>5</v>
      </c>
    </row>
    <row r="253" spans="1:3">
      <c r="A253" t="s">
        <v>95</v>
      </c>
      <c r="B253" t="s">
        <v>266</v>
      </c>
      <c r="C253" t="s">
        <v>5</v>
      </c>
    </row>
    <row r="254" spans="1:3">
      <c r="A254" t="s">
        <v>95</v>
      </c>
      <c r="B254" t="s">
        <v>267</v>
      </c>
      <c r="C254" t="s">
        <v>5</v>
      </c>
    </row>
    <row r="255" spans="1:3">
      <c r="A255" t="s">
        <v>95</v>
      </c>
      <c r="B255" t="s">
        <v>268</v>
      </c>
      <c r="C255" t="s">
        <v>5</v>
      </c>
    </row>
    <row r="256" spans="1:3">
      <c r="A256" t="s">
        <v>95</v>
      </c>
      <c r="B256" t="s">
        <v>270</v>
      </c>
      <c r="C256" t="s">
        <v>5</v>
      </c>
    </row>
    <row r="257" spans="1:3">
      <c r="A257" t="s">
        <v>96</v>
      </c>
      <c r="B257" t="s">
        <v>266</v>
      </c>
      <c r="C257" t="s">
        <v>5</v>
      </c>
    </row>
    <row r="258" spans="1:3">
      <c r="A258" t="s">
        <v>96</v>
      </c>
      <c r="B258" t="s">
        <v>267</v>
      </c>
      <c r="C258" t="s">
        <v>5</v>
      </c>
    </row>
    <row r="259" spans="1:3">
      <c r="A259" t="s">
        <v>96</v>
      </c>
      <c r="B259" t="s">
        <v>268</v>
      </c>
      <c r="C259" t="s">
        <v>5</v>
      </c>
    </row>
    <row r="260" spans="1:3">
      <c r="A260" t="s">
        <v>96</v>
      </c>
      <c r="B260" t="s">
        <v>270</v>
      </c>
      <c r="C260" t="s">
        <v>5</v>
      </c>
    </row>
    <row r="261" spans="1:3">
      <c r="A261" t="s">
        <v>96</v>
      </c>
      <c r="B261" t="s">
        <v>274</v>
      </c>
      <c r="C261" t="s">
        <v>5</v>
      </c>
    </row>
    <row r="262" spans="1:3">
      <c r="A262" t="s">
        <v>97</v>
      </c>
      <c r="B262" t="s">
        <v>266</v>
      </c>
      <c r="C262" t="s">
        <v>5</v>
      </c>
    </row>
    <row r="263" spans="1:3">
      <c r="A263" t="s">
        <v>97</v>
      </c>
      <c r="B263" t="s">
        <v>271</v>
      </c>
      <c r="C263" t="s">
        <v>5</v>
      </c>
    </row>
    <row r="264" spans="1:3">
      <c r="A264" t="s">
        <v>97</v>
      </c>
      <c r="B264" t="s">
        <v>267</v>
      </c>
      <c r="C264" t="s">
        <v>5</v>
      </c>
    </row>
    <row r="265" spans="1:3">
      <c r="A265" t="s">
        <v>97</v>
      </c>
      <c r="B265" t="s">
        <v>272</v>
      </c>
      <c r="C265" t="s">
        <v>5</v>
      </c>
    </row>
    <row r="266" spans="1:3">
      <c r="A266" t="s">
        <v>97</v>
      </c>
      <c r="B266" t="s">
        <v>269</v>
      </c>
      <c r="C266" t="s">
        <v>5</v>
      </c>
    </row>
    <row r="267" spans="1:3">
      <c r="A267" t="s">
        <v>97</v>
      </c>
      <c r="B267" t="s">
        <v>274</v>
      </c>
      <c r="C267" t="s">
        <v>5</v>
      </c>
    </row>
    <row r="268" spans="1:3">
      <c r="A268" t="s">
        <v>97</v>
      </c>
      <c r="B268" t="s">
        <v>275</v>
      </c>
      <c r="C268" t="s">
        <v>5</v>
      </c>
    </row>
    <row r="269" spans="1:3">
      <c r="A269" t="s">
        <v>98</v>
      </c>
      <c r="B269" t="s">
        <v>267</v>
      </c>
      <c r="C269" t="s">
        <v>5</v>
      </c>
    </row>
    <row r="270" spans="1:3">
      <c r="A270" t="s">
        <v>98</v>
      </c>
      <c r="B270" t="s">
        <v>272</v>
      </c>
      <c r="C270" t="s">
        <v>5</v>
      </c>
    </row>
    <row r="271" spans="1:3">
      <c r="A271" t="s">
        <v>98</v>
      </c>
      <c r="B271" t="s">
        <v>268</v>
      </c>
      <c r="C271" t="s">
        <v>5</v>
      </c>
    </row>
    <row r="272" spans="1:3">
      <c r="A272" t="s">
        <v>98</v>
      </c>
      <c r="B272" t="s">
        <v>269</v>
      </c>
      <c r="C272" t="s">
        <v>5</v>
      </c>
    </row>
    <row r="273" spans="1:3">
      <c r="A273" t="s">
        <v>98</v>
      </c>
      <c r="B273" t="s">
        <v>286</v>
      </c>
      <c r="C273" t="s">
        <v>289</v>
      </c>
    </row>
    <row r="274" spans="1:3">
      <c r="A274" t="s">
        <v>98</v>
      </c>
      <c r="B274" t="s">
        <v>290</v>
      </c>
      <c r="C274" t="s">
        <v>289</v>
      </c>
    </row>
    <row r="275" spans="1:3">
      <c r="A275" t="s">
        <v>99</v>
      </c>
      <c r="B275" t="s">
        <v>266</v>
      </c>
      <c r="C275" t="s">
        <v>5</v>
      </c>
    </row>
    <row r="276" spans="1:3">
      <c r="A276" t="s">
        <v>99</v>
      </c>
      <c r="B276" t="s">
        <v>267</v>
      </c>
      <c r="C276" t="s">
        <v>5</v>
      </c>
    </row>
    <row r="277" spans="1:3">
      <c r="A277" t="s">
        <v>99</v>
      </c>
      <c r="B277" t="s">
        <v>268</v>
      </c>
      <c r="C277" t="s">
        <v>5</v>
      </c>
    </row>
    <row r="278" spans="1:3">
      <c r="A278" t="s">
        <v>99</v>
      </c>
      <c r="B278" t="s">
        <v>270</v>
      </c>
      <c r="C278" t="s">
        <v>5</v>
      </c>
    </row>
    <row r="279" spans="1:3">
      <c r="A279" t="s">
        <v>101</v>
      </c>
      <c r="B279" t="s">
        <v>266</v>
      </c>
      <c r="C279" t="s">
        <v>5</v>
      </c>
    </row>
    <row r="280" spans="1:3">
      <c r="A280" t="s">
        <v>101</v>
      </c>
      <c r="B280" t="s">
        <v>267</v>
      </c>
      <c r="C280" t="s">
        <v>5</v>
      </c>
    </row>
    <row r="281" spans="1:3">
      <c r="A281" t="s">
        <v>101</v>
      </c>
      <c r="B281" t="s">
        <v>268</v>
      </c>
      <c r="C281" t="s">
        <v>5</v>
      </c>
    </row>
    <row r="282" spans="1:3">
      <c r="A282" t="s">
        <v>101</v>
      </c>
      <c r="B282" t="s">
        <v>270</v>
      </c>
      <c r="C282" t="s">
        <v>5</v>
      </c>
    </row>
    <row r="283" spans="1:3">
      <c r="A283" t="s">
        <v>102</v>
      </c>
      <c r="B283" t="s">
        <v>266</v>
      </c>
      <c r="C283" t="s">
        <v>5</v>
      </c>
    </row>
    <row r="284" spans="1:3">
      <c r="A284" t="s">
        <v>102</v>
      </c>
      <c r="B284" t="s">
        <v>267</v>
      </c>
      <c r="C284" t="s">
        <v>5</v>
      </c>
    </row>
    <row r="285" spans="1:3">
      <c r="A285" t="s">
        <v>102</v>
      </c>
      <c r="B285" t="s">
        <v>268</v>
      </c>
      <c r="C285" t="s">
        <v>5</v>
      </c>
    </row>
    <row r="286" spans="1:3">
      <c r="A286" t="s">
        <v>102</v>
      </c>
      <c r="B286" t="s">
        <v>270</v>
      </c>
      <c r="C286" t="s">
        <v>5</v>
      </c>
    </row>
    <row r="287" spans="1:3">
      <c r="A287" t="s">
        <v>103</v>
      </c>
      <c r="B287" t="s">
        <v>266</v>
      </c>
      <c r="C287" t="s">
        <v>5</v>
      </c>
    </row>
    <row r="288" spans="1:3">
      <c r="A288" t="s">
        <v>103</v>
      </c>
      <c r="B288" t="s">
        <v>267</v>
      </c>
      <c r="C288" t="s">
        <v>5</v>
      </c>
    </row>
    <row r="289" spans="1:3">
      <c r="A289" t="s">
        <v>103</v>
      </c>
      <c r="B289" t="s">
        <v>268</v>
      </c>
      <c r="C289" t="s">
        <v>5</v>
      </c>
    </row>
    <row r="290" spans="1:3">
      <c r="A290" t="s">
        <v>103</v>
      </c>
      <c r="B290" t="s">
        <v>270</v>
      </c>
      <c r="C290" t="s">
        <v>5</v>
      </c>
    </row>
    <row r="291" spans="1:3">
      <c r="A291" t="s">
        <v>105</v>
      </c>
      <c r="B291" t="s">
        <v>266</v>
      </c>
      <c r="C291" t="s">
        <v>5</v>
      </c>
    </row>
    <row r="292" spans="1:3">
      <c r="A292" t="s">
        <v>105</v>
      </c>
      <c r="B292" t="s">
        <v>267</v>
      </c>
      <c r="C292" t="s">
        <v>5</v>
      </c>
    </row>
    <row r="293" spans="1:3">
      <c r="A293" t="s">
        <v>105</v>
      </c>
      <c r="B293" t="s">
        <v>268</v>
      </c>
      <c r="C293" t="s">
        <v>5</v>
      </c>
    </row>
    <row r="294" spans="1:3">
      <c r="A294" t="s">
        <v>105</v>
      </c>
      <c r="B294" t="s">
        <v>270</v>
      </c>
      <c r="C294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B3B5-6ABC-49A2-B8BB-7AC5A9D43ADD}">
  <dimension ref="A1:F24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60.7109375" bestFit="1" customWidth="1"/>
    <col min="2" max="2" width="9.28515625" bestFit="1" customWidth="1"/>
    <col min="3" max="3" width="16.42578125" customWidth="1"/>
    <col min="4" max="4" width="17.7109375" bestFit="1" customWidth="1"/>
    <col min="5" max="5" width="8.28515625" bestFit="1" customWidth="1"/>
    <col min="6" max="6" width="12.140625" bestFit="1" customWidth="1"/>
  </cols>
  <sheetData>
    <row r="1" spans="1:6" ht="46.5">
      <c r="A1" s="2" t="s">
        <v>0</v>
      </c>
      <c r="B1" s="2" t="s">
        <v>291</v>
      </c>
      <c r="C1" s="2" t="s">
        <v>292</v>
      </c>
      <c r="D1" s="2" t="s">
        <v>293</v>
      </c>
      <c r="E1" s="2" t="s">
        <v>2</v>
      </c>
    </row>
    <row r="2" spans="1:6">
      <c r="A2" s="3" t="str">
        <f>VLOOKUP('Itinerários por transportadora '!A898,'Itinerários por transportadora '!A:A,1,0)</f>
        <v>36.232.091 HILTON CESAR LEONEL</v>
      </c>
      <c r="B2" s="3" t="str">
        <f>LEFT(VLOOKUP(A2,'Itinerários por transportadora '!A:B,2,0),2)</f>
        <v>SP</v>
      </c>
      <c r="C2" s="4" t="b">
        <v>0</v>
      </c>
      <c r="D2" s="4" t="b">
        <v>1</v>
      </c>
      <c r="E2" s="3"/>
      <c r="F2" s="1" t="b">
        <f>IF(C2=FALSE,FALSE,TRUE)</f>
        <v>0</v>
      </c>
    </row>
    <row r="3" spans="1:6">
      <c r="A3" s="3" t="str">
        <f>VLOOKUP('Itinerários RJ por transportado'!A428,'Itinerários RJ por transportado'!A:A,1,0)</f>
        <v>36.232.091 HILTON CESAR LEONEL</v>
      </c>
      <c r="B3" s="3" t="str">
        <f>LEFT(VLOOKUP(A3,Itinerários_RJ_por_transportadora_pdf[[Transportadora]:[Rota]],2,0),2)</f>
        <v>RJ</v>
      </c>
      <c r="C3" s="4" t="b">
        <v>0</v>
      </c>
      <c r="D3" s="4" t="b">
        <v>1</v>
      </c>
      <c r="E3" s="3"/>
      <c r="F3" s="1" t="b">
        <f>IF(C3=FALSE,FALSE,TRUE)</f>
        <v>0</v>
      </c>
    </row>
    <row r="4" spans="1:6">
      <c r="A4" s="3" t="str">
        <f>VLOOKUP('Itinerários ES por transportado'!A197,'Itinerários ES por transportado'!A:A,1,0)</f>
        <v>36.232.091 HILTON CESAR LEONEL</v>
      </c>
      <c r="B4" s="3" t="str">
        <f>LEFT(VLOOKUP(A4,Itinerários_ES_por_transportadora_pdf[[Transportadora]:[Rota]],2,0),2)</f>
        <v>ES</v>
      </c>
      <c r="C4" s="4" t="b">
        <v>0</v>
      </c>
      <c r="D4" s="4" t="b">
        <v>1</v>
      </c>
      <c r="E4" s="3"/>
      <c r="F4" s="1" t="b">
        <f>IF(C4=FALSE,FALSE,TRUE)</f>
        <v>0</v>
      </c>
    </row>
    <row r="5" spans="1:6">
      <c r="A5" s="3" t="str">
        <f>VLOOKUP('Itinerários MG por transportado'!A722,'Itinerários MG por transportado'!A:A,1,0)</f>
        <v>36.232.091 HILTON CESAR LEONEL</v>
      </c>
      <c r="B5" s="3" t="str">
        <f>LEFT(VLOOKUP(A5,'Itinerários MG por transportado'!A:B,2,0),2)</f>
        <v>MG</v>
      </c>
      <c r="C5" s="4" t="b">
        <v>0</v>
      </c>
      <c r="D5" s="4" t="b">
        <v>1</v>
      </c>
      <c r="E5" s="3"/>
      <c r="F5" s="1" t="b">
        <f>IF(C5=FALSE,FALSE,TRUE)</f>
        <v>0</v>
      </c>
    </row>
    <row r="6" spans="1:6">
      <c r="A6" s="3" t="str">
        <f>VLOOKUP('Itinerários RJ por transportado'!A555,'Itinerários RJ por transportado'!A:A,1,0)</f>
        <v>53.540.060 LUCIA NUNES DE SIQUEIRA CASTRO</v>
      </c>
      <c r="B6" s="3" t="str">
        <f>LEFT(VLOOKUP(A6,Itinerários_RJ_por_transportadora_pdf[[Transportadora]:[Rota]],2,0),2)</f>
        <v>RJ</v>
      </c>
      <c r="C6" s="4" t="b">
        <v>0</v>
      </c>
      <c r="D6" s="4" t="b">
        <v>1</v>
      </c>
      <c r="E6" s="3"/>
      <c r="F6" s="1" t="b">
        <f>IF(C6=FALSE,FALSE,TRUE)</f>
        <v>0</v>
      </c>
    </row>
    <row r="7" spans="1:6">
      <c r="A7" s="3" t="str">
        <f>VLOOKUP('Itinerários ES por transportado'!A253,'Itinerários ES por transportado'!A:A,1,0)</f>
        <v>53.540.060 LUCIA NUNES DE SIQUEIRA CASTRO</v>
      </c>
      <c r="B7" s="3" t="str">
        <f>LEFT(VLOOKUP(A7,Itinerários_ES_por_transportadora_pdf[[Transportadora]:[Rota]],2,0),2)</f>
        <v>ES</v>
      </c>
      <c r="C7" s="4" t="b">
        <v>0</v>
      </c>
      <c r="D7" s="4" t="b">
        <v>1</v>
      </c>
      <c r="E7" s="3"/>
      <c r="F7" s="1" t="b">
        <f>IF(C7=FALSE,FALSE,TRUE)</f>
        <v>0</v>
      </c>
    </row>
    <row r="8" spans="1:6">
      <c r="A8" s="3" t="str">
        <f>VLOOKUP('Itinerários MG por transportado'!A938,'Itinerários MG por transportado'!A:A,1,0)</f>
        <v>53.540.060 LUCIA NUNES DE SIQUEIRA CASTRO</v>
      </c>
      <c r="B8" s="3" t="str">
        <f>LEFT(VLOOKUP(A8,'Itinerários MG por transportado'!A:B,2,0),2)</f>
        <v>MG</v>
      </c>
      <c r="C8" s="4" t="b">
        <v>0</v>
      </c>
      <c r="D8" s="4" t="b">
        <v>1</v>
      </c>
      <c r="E8" s="3"/>
      <c r="F8" s="1" t="b">
        <f>IF(C8=FALSE,FALSE,TRUE)</f>
        <v>0</v>
      </c>
    </row>
    <row r="9" spans="1:6">
      <c r="A9" s="3" t="str">
        <f>VLOOKUP('Itinerários RJ por transportado'!A586,'Itinerários RJ por transportado'!A:A,1,0)</f>
        <v>54.792.392 RAYSSA OLIVEIRA SALES</v>
      </c>
      <c r="B9" s="3" t="str">
        <f>LEFT(VLOOKUP(A9,Itinerários_RJ_por_transportadora_pdf[[Transportadora]:[Rota]],2,0),2)</f>
        <v>RJ</v>
      </c>
      <c r="C9" s="4" t="b">
        <v>0</v>
      </c>
      <c r="D9" s="4" t="b">
        <v>1</v>
      </c>
      <c r="E9" s="3"/>
      <c r="F9" s="1" t="b">
        <f>IF(C9=FALSE,FALSE,TRUE)</f>
        <v>0</v>
      </c>
    </row>
    <row r="10" spans="1:6">
      <c r="A10" s="3" t="str">
        <f>VLOOKUP('Itinerários ES por transportado'!A275,'Itinerários ES por transportado'!A:A,1,0)</f>
        <v>54.792.392 RAYSSA OLIVEIRA SALES</v>
      </c>
      <c r="B10" s="3" t="str">
        <f>LEFT(VLOOKUP(A10,Itinerários_ES_por_transportadora_pdf[[Transportadora]:[Rota]],2,0),2)</f>
        <v>ES</v>
      </c>
      <c r="C10" s="4" t="b">
        <v>0</v>
      </c>
      <c r="D10" s="4" t="b">
        <v>1</v>
      </c>
      <c r="E10" s="3"/>
      <c r="F10" s="1" t="b">
        <f>IF(C10=FALSE,FALSE,TRUE)</f>
        <v>0</v>
      </c>
    </row>
    <row r="11" spans="1:6">
      <c r="A11" s="3" t="str">
        <f>VLOOKUP('Itinerários RJ por transportado'!A630,'Itinerários RJ por transportado'!A:A,1,0)</f>
        <v>58.622.244 ISSAO TOYODA</v>
      </c>
      <c r="B11" s="3" t="str">
        <f>LEFT(VLOOKUP(A11,Itinerários_RJ_por_transportadora_pdf[[Transportadora]:[Rota]],2,0),2)</f>
        <v>RJ</v>
      </c>
      <c r="C11" s="4" t="b">
        <v>0</v>
      </c>
      <c r="D11" s="4" t="b">
        <v>1</v>
      </c>
      <c r="E11" s="3"/>
      <c r="F11" s="1" t="b">
        <f>IF(C11=FALSE,FALSE,TRUE)</f>
        <v>0</v>
      </c>
    </row>
    <row r="12" spans="1:6">
      <c r="A12" s="3" t="str">
        <f>VLOOKUP('Itinerários RJ por transportado'!A632,'Itinerários RJ por transportado'!A:A,1,0)</f>
        <v>62.098.575 JOAO PEREIRA CASTRO</v>
      </c>
      <c r="B12" s="3" t="str">
        <f>LEFT(VLOOKUP(A12,Itinerários_RJ_por_transportadora_pdf[[Transportadora]:[Rota]],2,0),2)</f>
        <v>RJ</v>
      </c>
      <c r="C12" s="4" t="b">
        <v>0</v>
      </c>
      <c r="D12" s="4" t="b">
        <v>1</v>
      </c>
      <c r="E12" s="3"/>
      <c r="F12" s="1" t="b">
        <f>IF(C12=FALSE,FALSE,TRUE)</f>
        <v>0</v>
      </c>
    </row>
    <row r="13" spans="1:6">
      <c r="A13" s="3" t="str">
        <f>VLOOKUP('Itinerários ES por transportado'!A291,'Itinerários ES por transportado'!A:A,1,0)</f>
        <v>62.098.575 JOAO PEREIRA CASTRO</v>
      </c>
      <c r="B13" s="3" t="str">
        <f>LEFT(VLOOKUP(A13,Itinerários_ES_por_transportadora_pdf[[Transportadora]:[Rota]],2,0),2)</f>
        <v>ES</v>
      </c>
      <c r="C13" s="4" t="b">
        <v>0</v>
      </c>
      <c r="D13" s="4" t="b">
        <v>1</v>
      </c>
      <c r="E13" s="3"/>
      <c r="F13" s="1" t="b">
        <f>IF(C13=FALSE,FALSE,TRUE)</f>
        <v>0</v>
      </c>
    </row>
    <row r="14" spans="1:6">
      <c r="A14" s="3" t="str">
        <f>VLOOKUP('Itinerários por transportadora '!A96,'Itinerários por transportadora '!A:A,1,0)</f>
        <v>AJBORGES TRANSPORTE</v>
      </c>
      <c r="B14" s="3" t="str">
        <f>LEFT(VLOOKUP(A14,'Itinerários por transportadora '!A:B,2,0),2)</f>
        <v>SP</v>
      </c>
      <c r="C14" s="4" t="b">
        <v>0</v>
      </c>
      <c r="D14" s="4" t="b">
        <v>1</v>
      </c>
      <c r="E14" s="3"/>
      <c r="F14" s="1" t="b">
        <f>IF(C14=FALSE,FALSE,TRUE)</f>
        <v>0</v>
      </c>
    </row>
    <row r="15" spans="1:6">
      <c r="A15" s="3" t="str">
        <f>VLOOKUP('Itinerários RJ por transportado'!A20,'Itinerários RJ por transportado'!A:A,1,0)</f>
        <v>AJBORGES TRANSPORTE</v>
      </c>
      <c r="B15" s="3" t="str">
        <f>LEFT(VLOOKUP(A15,Itinerários_RJ_por_transportadora_pdf[[Transportadora]:[Rota]],2,0),2)</f>
        <v>RJ</v>
      </c>
      <c r="C15" s="4" t="b">
        <v>0</v>
      </c>
      <c r="D15" s="4" t="b">
        <v>1</v>
      </c>
      <c r="E15" s="3"/>
      <c r="F15" s="1" t="b">
        <f>IF(C15=FALSE,FALSE,TRUE)</f>
        <v>0</v>
      </c>
    </row>
    <row r="16" spans="1:6">
      <c r="A16" s="3" t="str">
        <f>VLOOKUP('Itinerários ES por transportado'!A7,'Itinerários ES por transportado'!A:A,1,0)</f>
        <v>AJBORGES TRANSPORTE</v>
      </c>
      <c r="B16" s="3" t="str">
        <f>LEFT(VLOOKUP(A16,Itinerários_ES_por_transportadora_pdf[[Transportadora]:[Rota]],2,0),2)</f>
        <v>ES</v>
      </c>
      <c r="C16" s="4" t="b">
        <v>0</v>
      </c>
      <c r="D16" s="4" t="b">
        <v>1</v>
      </c>
      <c r="E16" s="3"/>
      <c r="F16" s="1" t="b">
        <f>IF(C16=FALSE,FALSE,TRUE)</f>
        <v>0</v>
      </c>
    </row>
    <row r="17" spans="1:6">
      <c r="A17" s="3" t="str">
        <f>VLOOKUP('Itinerários MG por transportado'!A25,'Itinerários MG por transportado'!A:A,1,0)</f>
        <v>AJBORGES TRANSPORTE</v>
      </c>
      <c r="B17" s="3" t="str">
        <f>LEFT(VLOOKUP(A17,'Itinerários MG por transportado'!A:B,2,0),2)</f>
        <v>MG</v>
      </c>
      <c r="C17" s="4" t="b">
        <v>0</v>
      </c>
      <c r="D17" s="4" t="b">
        <v>1</v>
      </c>
      <c r="E17" s="3"/>
      <c r="F17" s="1" t="b">
        <f>IF(C17=FALSE,FALSE,TRUE)</f>
        <v>0</v>
      </c>
    </row>
    <row r="18" spans="1:6">
      <c r="A18" s="3" t="str">
        <f>VLOOKUP('Itinerários por transportadora '!A715,'Itinerários por transportadora '!A:A,1,0)</f>
        <v>APARECIDO TAVARES TRANSPORTES ME</v>
      </c>
      <c r="B18" s="3" t="str">
        <f>LEFT(VLOOKUP(A18,'Itinerários por transportadora '!A:B,2,0),2)</f>
        <v>SP</v>
      </c>
      <c r="C18" s="4" t="b">
        <v>0</v>
      </c>
      <c r="D18" s="4" t="b">
        <v>1</v>
      </c>
      <c r="E18" s="3"/>
      <c r="F18" s="1" t="b">
        <f>IF(C18=FALSE,FALSE,TRUE)</f>
        <v>0</v>
      </c>
    </row>
    <row r="19" spans="1:6">
      <c r="A19" s="3" t="str">
        <f>VLOOKUP('Itinerários RJ por transportado'!A328,'Itinerários RJ por transportado'!A:A,1,0)</f>
        <v>APARECIDO TAVARES TRANSPORTES ME</v>
      </c>
      <c r="B19" s="3" t="str">
        <f>LEFT(VLOOKUP(A19,Itinerários_RJ_por_transportadora_pdf[[Transportadora]:[Rota]],2,0),2)</f>
        <v>RJ</v>
      </c>
      <c r="C19" s="4" t="b">
        <v>0</v>
      </c>
      <c r="D19" s="4" t="b">
        <v>1</v>
      </c>
      <c r="E19" s="3"/>
      <c r="F19" s="1" t="b">
        <f>IF(C19=FALSE,FALSE,TRUE)</f>
        <v>0</v>
      </c>
    </row>
    <row r="20" spans="1:6">
      <c r="A20" s="3" t="str">
        <f>VLOOKUP('Itinerários ES por transportado'!A150,'Itinerários ES por transportado'!A:A,1,0)</f>
        <v>APARECIDO TAVARES TRANSPORTES ME</v>
      </c>
      <c r="B20" s="3" t="str">
        <f>LEFT(VLOOKUP(A20,Itinerários_ES_por_transportadora_pdf[[Transportadora]:[Rota]],2,0),2)</f>
        <v>ES</v>
      </c>
      <c r="C20" s="4" t="b">
        <v>0</v>
      </c>
      <c r="D20" s="4" t="b">
        <v>1</v>
      </c>
      <c r="E20" s="3"/>
      <c r="F20" s="1" t="b">
        <f>IF(C20=FALSE,FALSE,TRUE)</f>
        <v>0</v>
      </c>
    </row>
    <row r="21" spans="1:6">
      <c r="A21" s="3" t="str">
        <f>VLOOKUP('Itinerários MG por transportado'!A554,'Itinerários MG por transportado'!A:A,1,0)</f>
        <v>APARECIDO TAVARES TRANSPORTES ME</v>
      </c>
      <c r="B21" s="3" t="str">
        <f>LEFT(VLOOKUP(A21,'Itinerários MG por transportado'!A:B,2,0),2)</f>
        <v>MG</v>
      </c>
      <c r="C21" s="4" t="b">
        <v>0</v>
      </c>
      <c r="D21" s="4" t="b">
        <v>1</v>
      </c>
      <c r="E21" s="3"/>
      <c r="F21" s="1" t="b">
        <f>IF(C21=FALSE,FALSE,TRUE)</f>
        <v>0</v>
      </c>
    </row>
    <row r="22" spans="1:6">
      <c r="A22" s="3" t="str">
        <f>VLOOKUP('Itinerários RJ por transportado'!A583,'Itinerários RJ por transportado'!A:A,1,0)</f>
        <v>ARANAO TRANSPORTES RODOVIARIOS LTDA</v>
      </c>
      <c r="B22" s="3" t="str">
        <f>LEFT(VLOOKUP(A22,Itinerários_RJ_por_transportadora_pdf[[Transportadora]:[Rota]],2,0),2)</f>
        <v>RJ</v>
      </c>
      <c r="C22" s="4" t="b">
        <v>0</v>
      </c>
      <c r="D22" s="4" t="b">
        <v>1</v>
      </c>
      <c r="E22" s="3"/>
      <c r="F22" s="1" t="b">
        <f>IF(C22=FALSE,FALSE,TRUE)</f>
        <v>0</v>
      </c>
    </row>
    <row r="23" spans="1:6">
      <c r="A23" s="3" t="str">
        <f>VLOOKUP('Itinerários ES por transportado'!A269,'Itinerários ES por transportado'!A:A,1,0)</f>
        <v>ARANAO TRANSPORTES RODOVIARIOS LTDA</v>
      </c>
      <c r="B23" s="3" t="str">
        <f>LEFT(VLOOKUP(A23,Itinerários_ES_por_transportadora_pdf[[Transportadora]:[Rota]],2,0),2)</f>
        <v>ES</v>
      </c>
      <c r="C23" s="4" t="b">
        <v>0</v>
      </c>
      <c r="D23" s="4" t="b">
        <v>1</v>
      </c>
      <c r="E23" s="3"/>
      <c r="F23" s="1" t="b">
        <f>IF(C23=FALSE,FALSE,TRUE)</f>
        <v>0</v>
      </c>
    </row>
    <row r="24" spans="1:6">
      <c r="A24" s="3" t="str">
        <f>VLOOKUP('Itinerários por transportadora '!A803,'Itinerários por transportadora '!A:A,1,0)</f>
        <v>ARLINDO FRANCISCO DE OLIVEIRA</v>
      </c>
      <c r="B24" s="3" t="str">
        <f>LEFT(VLOOKUP(A24,'Itinerários por transportadora '!A:B,2,0),2)</f>
        <v>SP</v>
      </c>
      <c r="C24" s="4" t="b">
        <v>0</v>
      </c>
      <c r="D24" s="4" t="b">
        <v>1</v>
      </c>
      <c r="E24" s="3"/>
      <c r="F24" s="1" t="b">
        <f>IF(C24=FALSE,FALSE,TRUE)</f>
        <v>0</v>
      </c>
    </row>
    <row r="25" spans="1:6">
      <c r="A25" s="3" t="str">
        <f>VLOOKUP('Itinerários RJ por transportado'!A378,'Itinerários RJ por transportado'!A:A,1,0)</f>
        <v>ARLINDO FRANCISCO DE OLIVEIRA</v>
      </c>
      <c r="B25" s="3" t="str">
        <f>LEFT(VLOOKUP(A25,Itinerários_RJ_por_transportadora_pdf[[Transportadora]:[Rota]],2,0),2)</f>
        <v>RJ</v>
      </c>
      <c r="C25" s="4" t="b">
        <v>0</v>
      </c>
      <c r="D25" s="4" t="b">
        <v>1</v>
      </c>
      <c r="E25" s="3"/>
      <c r="F25" s="1" t="b">
        <f>IF(C25=FALSE,FALSE,TRUE)</f>
        <v>0</v>
      </c>
    </row>
    <row r="26" spans="1:6">
      <c r="A26" s="3" t="str">
        <f>VLOOKUP('Itinerários ES por transportado'!A170,'Itinerários ES por transportado'!A:A,1,0)</f>
        <v>ARLINDO FRANCISCO DE OLIVEIRA</v>
      </c>
      <c r="B26" s="3" t="str">
        <f>LEFT(VLOOKUP(A26,Itinerários_ES_por_transportadora_pdf[[Transportadora]:[Rota]],2,0),2)</f>
        <v>ES</v>
      </c>
      <c r="C26" s="4" t="b">
        <v>0</v>
      </c>
      <c r="D26" s="4" t="b">
        <v>1</v>
      </c>
      <c r="E26" s="3"/>
      <c r="F26" s="1" t="b">
        <f>IF(C26=FALSE,FALSE,TRUE)</f>
        <v>0</v>
      </c>
    </row>
    <row r="27" spans="1:6">
      <c r="A27" s="3" t="str">
        <f>VLOOKUP('Itinerários MG por transportado'!A641,'Itinerários MG por transportado'!A:A,1,0)</f>
        <v>ARLINDO FRANCISCO DE OLIVEIRA</v>
      </c>
      <c r="B27" s="3" t="str">
        <f>LEFT(VLOOKUP(A27,'Itinerários MG por transportado'!A:B,2,0),2)</f>
        <v>MG</v>
      </c>
      <c r="C27" s="4" t="b">
        <v>0</v>
      </c>
      <c r="D27" s="4" t="b">
        <v>1</v>
      </c>
      <c r="E27" s="3"/>
      <c r="F27" s="1" t="b">
        <f>IF(C27=FALSE,FALSE,TRUE)</f>
        <v>0</v>
      </c>
    </row>
    <row r="28" spans="1:6">
      <c r="A28" s="3" t="str">
        <f>VLOOKUP('Itinerários por transportadora '!A733,'Itinerários por transportadora '!A:A,1,0)</f>
        <v>ARNALDO BENEDITO AMORIM - ME</v>
      </c>
      <c r="B28" s="3" t="str">
        <f>LEFT(VLOOKUP(A28,'Itinerários por transportadora '!A:B,2,0),2)</f>
        <v>SP</v>
      </c>
      <c r="C28" s="4" t="b">
        <v>0</v>
      </c>
      <c r="D28" s="4" t="b">
        <v>1</v>
      </c>
      <c r="E28" s="3"/>
      <c r="F28" s="1" t="b">
        <f>IF(C28=FALSE,FALSE,TRUE)</f>
        <v>0</v>
      </c>
    </row>
    <row r="29" spans="1:6">
      <c r="A29" s="3" t="str">
        <f>VLOOKUP('Itinerários RJ por transportado'!A338,'Itinerários RJ por transportado'!A:A,1,0)</f>
        <v>ARNALDO BENEDITO AMORIM - ME</v>
      </c>
      <c r="B29" s="3" t="str">
        <f>LEFT(VLOOKUP(A29,Itinerários_RJ_por_transportadora_pdf[[Transportadora]:[Rota]],2,0),2)</f>
        <v>RJ</v>
      </c>
      <c r="C29" s="4" t="b">
        <v>0</v>
      </c>
      <c r="D29" s="4" t="b">
        <v>1</v>
      </c>
      <c r="E29" s="3"/>
      <c r="F29" s="1" t="b">
        <f>IF(C29=FALSE,FALSE,TRUE)</f>
        <v>0</v>
      </c>
    </row>
    <row r="30" spans="1:6">
      <c r="A30" s="3" t="str">
        <f>VLOOKUP('Itinerários ES por transportado'!A154,'Itinerários ES por transportado'!A:A,1,0)</f>
        <v>ARNALDO BENEDITO AMORIM - ME</v>
      </c>
      <c r="B30" s="3" t="str">
        <f>LEFT(VLOOKUP(A30,Itinerários_ES_por_transportadora_pdf[[Transportadora]:[Rota]],2,0),2)</f>
        <v>ES</v>
      </c>
      <c r="C30" s="4" t="b">
        <v>0</v>
      </c>
      <c r="D30" s="4" t="b">
        <v>1</v>
      </c>
      <c r="E30" s="3"/>
      <c r="F30" s="1" t="b">
        <f>IF(C30=FALSE,FALSE,TRUE)</f>
        <v>0</v>
      </c>
    </row>
    <row r="31" spans="1:6">
      <c r="A31" s="3" t="str">
        <f>VLOOKUP('Itinerários MG por transportado'!A571,'Itinerários MG por transportado'!A:A,1,0)</f>
        <v>ARNALDO BENEDITO AMORIM - ME</v>
      </c>
      <c r="B31" s="3" t="str">
        <f>LEFT(VLOOKUP(A31,'Itinerários MG por transportado'!A:B,2,0),2)</f>
        <v>MG</v>
      </c>
      <c r="C31" s="4" t="b">
        <v>0</v>
      </c>
      <c r="D31" s="4" t="b">
        <v>1</v>
      </c>
      <c r="E31" s="3"/>
      <c r="F31" s="1" t="b">
        <f>IF(C31=FALSE,FALSE,TRUE)</f>
        <v>0</v>
      </c>
    </row>
    <row r="32" spans="1:6">
      <c r="A32" s="3" t="str">
        <f>VLOOKUP('Itinerários por transportadora '!A558,'Itinerários por transportadora '!A:A,1,0)</f>
        <v>C J DELASARE TRANSPORTES LTDA</v>
      </c>
      <c r="B32" s="3" t="str">
        <f>LEFT(VLOOKUP(A32,'Itinerários por transportadora '!A:B,2,0),2)</f>
        <v>SP</v>
      </c>
      <c r="C32" s="4" t="b">
        <v>0</v>
      </c>
      <c r="D32" s="4" t="b">
        <v>1</v>
      </c>
      <c r="E32" s="3"/>
      <c r="F32" s="1" t="b">
        <f>IF(C32=FALSE,FALSE,TRUE)</f>
        <v>0</v>
      </c>
    </row>
    <row r="33" spans="1:6">
      <c r="A33" s="3" t="str">
        <f>VLOOKUP('Itinerários RJ por transportado'!A244,'Itinerários RJ por transportado'!A:A,1,0)</f>
        <v>C J DELASARE TRANSPORTES LTDA</v>
      </c>
      <c r="B33" s="3" t="str">
        <f>LEFT(VLOOKUP(A33,Itinerários_RJ_por_transportadora_pdf[[Transportadora]:[Rota]],2,0),2)</f>
        <v>RJ</v>
      </c>
      <c r="C33" s="4" t="b">
        <v>0</v>
      </c>
      <c r="D33" s="4" t="b">
        <v>1</v>
      </c>
      <c r="E33" s="3"/>
      <c r="F33" s="1" t="b">
        <f>IF(C33=FALSE,FALSE,TRUE)</f>
        <v>0</v>
      </c>
    </row>
    <row r="34" spans="1:6">
      <c r="A34" s="3" t="str">
        <f>VLOOKUP('Itinerários ES por transportado'!A112,'Itinerários ES por transportado'!A:A,1,0)</f>
        <v>C J DELASARE TRANSPORTES LTDA</v>
      </c>
      <c r="B34" s="3" t="str">
        <f>LEFT(VLOOKUP(A34,Itinerários_ES_por_transportadora_pdf[[Transportadora]:[Rota]],2,0),2)</f>
        <v>ES</v>
      </c>
      <c r="C34" s="4" t="b">
        <v>0</v>
      </c>
      <c r="D34" s="4" t="b">
        <v>1</v>
      </c>
      <c r="E34" s="3"/>
      <c r="F34" s="1" t="b">
        <f>IF(C34=FALSE,FALSE,TRUE)</f>
        <v>0</v>
      </c>
    </row>
    <row r="35" spans="1:6">
      <c r="A35" s="3" t="str">
        <f>VLOOKUP('Itinerários MG por transportado'!A408,'Itinerários MG por transportado'!A:A,1,0)</f>
        <v>C J DELASARE TRANSPORTES LTDA</v>
      </c>
      <c r="B35" s="3" t="str">
        <f>LEFT(VLOOKUP(A35,'Itinerários MG por transportado'!A:B,2,0),2)</f>
        <v>MG</v>
      </c>
      <c r="C35" s="4" t="b">
        <v>0</v>
      </c>
      <c r="D35" s="4" t="b">
        <v>1</v>
      </c>
      <c r="E35" s="3"/>
      <c r="F35" s="1" t="b">
        <f>IF(C35=FALSE,FALSE,TRUE)</f>
        <v>0</v>
      </c>
    </row>
    <row r="36" spans="1:6">
      <c r="A36" s="3" t="str">
        <f>VLOOKUP('Itinerários MG por transportado'!A97,'Itinerários MG por transportado'!A:A,1,0)</f>
        <v>CALL EXPRESS TRANSPORTE E LOGISTICA LTDA</v>
      </c>
      <c r="B36" s="3" t="str">
        <f>LEFT(VLOOKUP(A36,'Itinerários MG por transportado'!A:B,2,0),2)</f>
        <v>MG</v>
      </c>
      <c r="C36" s="4" t="b">
        <v>0</v>
      </c>
      <c r="D36" s="4" t="b">
        <v>1</v>
      </c>
      <c r="E36" s="3"/>
      <c r="F36" s="1" t="b">
        <f>IF(C36=FALSE,FALSE,TRUE)</f>
        <v>0</v>
      </c>
    </row>
    <row r="37" spans="1:6">
      <c r="A37" s="3" t="str">
        <f>VLOOKUP('Itinerários por transportadora '!A292,'Itinerários por transportadora '!A:A,1,0)</f>
        <v>CARLOS ROBERTO CABRINI TRANSP. - ME</v>
      </c>
      <c r="B37" s="3" t="str">
        <f>LEFT(VLOOKUP(A37,'Itinerários por transportadora '!A:B,2,0),2)</f>
        <v>SP</v>
      </c>
      <c r="C37" s="4" t="b">
        <v>0</v>
      </c>
      <c r="D37" s="4" t="b">
        <v>1</v>
      </c>
      <c r="E37" s="3"/>
      <c r="F37" s="1" t="b">
        <f>IF(C37=FALSE,FALSE,TRUE)</f>
        <v>0</v>
      </c>
    </row>
    <row r="38" spans="1:6">
      <c r="A38" s="3" t="str">
        <f>VLOOKUP('Itinerários por transportadora '!A47,'Itinerários por transportadora '!A:A,1,0)</f>
        <v>CARSTEN</v>
      </c>
      <c r="B38" s="3" t="str">
        <f>LEFT(VLOOKUP(A38,'Itinerários por transportadora '!A:B,2,0),2)</f>
        <v>SP</v>
      </c>
      <c r="C38" s="4" t="b">
        <v>0</v>
      </c>
      <c r="D38" s="4" t="b">
        <v>1</v>
      </c>
      <c r="E38" s="3"/>
      <c r="F38" s="1" t="b">
        <f>IF(C38=FALSE,FALSE,TRUE)</f>
        <v>0</v>
      </c>
    </row>
    <row r="39" spans="1:6">
      <c r="A39" s="3" t="str">
        <f>VLOOKUP('Itinerários RJ por transportado'!A6,'Itinerários RJ por transportado'!A:A,1,0)</f>
        <v>CARSTEN</v>
      </c>
      <c r="B39" s="3" t="str">
        <f>LEFT(VLOOKUP(A39,Itinerários_RJ_por_transportadora_pdf[[Transportadora]:[Rota]],2,0),2)</f>
        <v>RJ</v>
      </c>
      <c r="C39" s="4" t="b">
        <v>0</v>
      </c>
      <c r="D39" s="4" t="b">
        <v>1</v>
      </c>
      <c r="E39" s="3"/>
      <c r="F39" s="1" t="b">
        <f>IF(C39=FALSE,FALSE,TRUE)</f>
        <v>0</v>
      </c>
    </row>
    <row r="40" spans="1:6">
      <c r="A40" s="3" t="str">
        <f>VLOOKUP('Itinerários RJ por transportado'!A620,'Itinerários RJ por transportado'!A:A,1,0)</f>
        <v>CLAUDIA MOREIRA CAIRES CASTRO</v>
      </c>
      <c r="B40" s="3" t="str">
        <f>LEFT(VLOOKUP(A40,Itinerários_RJ_por_transportadora_pdf[[Transportadora]:[Rota]],2,0),2)</f>
        <v>RJ</v>
      </c>
      <c r="C40" s="4" t="b">
        <v>0</v>
      </c>
      <c r="D40" s="4" t="b">
        <v>1</v>
      </c>
      <c r="E40" s="3"/>
      <c r="F40" s="1" t="b">
        <f>IF(C40=FALSE,FALSE,TRUE)</f>
        <v>0</v>
      </c>
    </row>
    <row r="41" spans="1:6">
      <c r="A41" s="3" t="str">
        <f>VLOOKUP('Itinerários ES por transportado'!A287,'Itinerários ES por transportado'!A:A,1,0)</f>
        <v>CLAUDIA MOREIRA CAIRES CASTRO</v>
      </c>
      <c r="B41" s="3" t="str">
        <f>LEFT(VLOOKUP(A41,Itinerários_ES_por_transportadora_pdf[[Transportadora]:[Rota]],2,0),2)</f>
        <v>ES</v>
      </c>
      <c r="C41" s="4" t="b">
        <v>0</v>
      </c>
      <c r="D41" s="4" t="b">
        <v>1</v>
      </c>
      <c r="E41" s="3"/>
      <c r="F41" s="1" t="b">
        <f>IF(C41=FALSE,FALSE,TRUE)</f>
        <v>0</v>
      </c>
    </row>
    <row r="42" spans="1:6">
      <c r="A42" s="3" t="str">
        <f>VLOOKUP('Itinerários RJ por transportado'!A520,'Itinerários RJ por transportado'!A:A,1,0)</f>
        <v>CLAUDIA OLIVEIRA MULATO</v>
      </c>
      <c r="B42" s="3" t="str">
        <f>LEFT(VLOOKUP(A42,Itinerários_RJ_por_transportadora_pdf[[Transportadora]:[Rota]],2,0),2)</f>
        <v>RJ</v>
      </c>
      <c r="C42" s="4" t="b">
        <v>0</v>
      </c>
      <c r="D42" s="4" t="b">
        <v>1</v>
      </c>
      <c r="E42" s="3"/>
      <c r="F42" s="1" t="b">
        <f>IF(C42=FALSE,FALSE,TRUE)</f>
        <v>0</v>
      </c>
    </row>
    <row r="43" spans="1:6">
      <c r="A43" s="3" t="str">
        <f>VLOOKUP('Itinerários ES por transportado'!A235,'Itinerários ES por transportado'!A:A,1,0)</f>
        <v>CLAUDIA OLIVEIRA MULATO</v>
      </c>
      <c r="B43" s="3" t="str">
        <f>LEFT(VLOOKUP(A43,Itinerários_ES_por_transportadora_pdf[[Transportadora]:[Rota]],2,0),2)</f>
        <v>ES</v>
      </c>
      <c r="C43" s="4" t="b">
        <v>0</v>
      </c>
      <c r="D43" s="4" t="b">
        <v>1</v>
      </c>
      <c r="E43" s="3"/>
      <c r="F43" s="1" t="b">
        <f>IF(C43=FALSE,FALSE,TRUE)</f>
        <v>0</v>
      </c>
    </row>
    <row r="44" spans="1:6">
      <c r="A44" s="3" t="str">
        <f>VLOOKUP('Itinerários MG por transportado'!A878,'Itinerários MG por transportado'!A:A,1,0)</f>
        <v>CLAUDIA OLIVEIRA MULATO</v>
      </c>
      <c r="B44" s="3" t="str">
        <f>LEFT(VLOOKUP(A44,'Itinerários MG por transportado'!A:B,2,0),2)</f>
        <v>MG</v>
      </c>
      <c r="C44" s="4" t="b">
        <v>0</v>
      </c>
      <c r="D44" s="4" t="b">
        <v>1</v>
      </c>
      <c r="E44" s="3"/>
      <c r="F44" s="1" t="b">
        <f>IF(C44=FALSE,FALSE,TRUE)</f>
        <v>0</v>
      </c>
    </row>
    <row r="45" spans="1:6">
      <c r="A45" s="3" t="str">
        <f>VLOOKUP('Itinerários RJ por transportado'!A610,'Itinerários RJ por transportado'!A:A,1,0)</f>
        <v>CRISTIANE JOSE DA SILVA FREITAS</v>
      </c>
      <c r="B45" s="3" t="str">
        <f>LEFT(VLOOKUP(A45,Itinerários_RJ_por_transportadora_pdf[[Transportadora]:[Rota]],2,0),2)</f>
        <v>RJ</v>
      </c>
      <c r="C45" s="4" t="b">
        <v>0</v>
      </c>
      <c r="D45" s="4" t="b">
        <v>1</v>
      </c>
      <c r="E45" s="3"/>
      <c r="F45" s="1" t="b">
        <f>IF(C45=FALSE,FALSE,TRUE)</f>
        <v>0</v>
      </c>
    </row>
    <row r="46" spans="1:6">
      <c r="A46" s="3" t="str">
        <f>VLOOKUP('Itinerários ES por transportado'!A283,'Itinerários ES por transportado'!A:A,1,0)</f>
        <v>CRISTIANE JOSE DA SILVA FREITAS</v>
      </c>
      <c r="B46" s="3" t="str">
        <f>LEFT(VLOOKUP(A46,Itinerários_ES_por_transportadora_pdf[[Transportadora]:[Rota]],2,0),2)</f>
        <v>ES</v>
      </c>
      <c r="C46" s="4" t="b">
        <v>0</v>
      </c>
      <c r="D46" s="4" t="b">
        <v>1</v>
      </c>
      <c r="E46" s="3"/>
      <c r="F46" s="1" t="b">
        <f>IF(C46=FALSE,FALSE,TRUE)</f>
        <v>0</v>
      </c>
    </row>
    <row r="47" spans="1:6">
      <c r="A47" s="3" t="str">
        <f>VLOOKUP('Itinerários por transportadora '!A222,'Itinerários por transportadora '!A:A,1,0)</f>
        <v>CYA VERDE LOGISITICA LTDA</v>
      </c>
      <c r="B47" s="3" t="str">
        <f>LEFT(VLOOKUP(A47,'Itinerários por transportadora '!A:B,2,0),2)</f>
        <v>SP</v>
      </c>
      <c r="C47" s="4" t="b">
        <v>0</v>
      </c>
      <c r="D47" s="4" t="b">
        <v>1</v>
      </c>
      <c r="E47" s="3"/>
      <c r="F47" s="1" t="b">
        <f>IF(C47=FALSE,FALSE,TRUE)</f>
        <v>0</v>
      </c>
    </row>
    <row r="48" spans="1:6">
      <c r="A48" s="3" t="str">
        <f>VLOOKUP('Itinerários RJ por transportado'!A58,'Itinerários RJ por transportado'!A:A,1,0)</f>
        <v>CYA VERDE LOGISITICA LTDA</v>
      </c>
      <c r="B48" s="3" t="str">
        <f>LEFT(VLOOKUP(A48,Itinerários_RJ_por_transportadora_pdf[[Transportadora]:[Rota]],2,0),2)</f>
        <v>RJ</v>
      </c>
      <c r="C48" s="4" t="b">
        <v>0</v>
      </c>
      <c r="D48" s="4" t="b">
        <v>1</v>
      </c>
      <c r="E48" s="3"/>
      <c r="F48" s="1" t="b">
        <f>IF(C48=FALSE,FALSE,TRUE)</f>
        <v>0</v>
      </c>
    </row>
    <row r="49" spans="1:6">
      <c r="A49" s="3" t="str">
        <f>VLOOKUP('Itinerários por transportadora '!A889,'Itinerários por transportadora '!A:A,1,0)</f>
        <v>DALVA MARQUES DE OLIVEIRA 16060157882</v>
      </c>
      <c r="B49" s="3" t="str">
        <f>LEFT(VLOOKUP(A49,'Itinerários por transportadora '!A:B,2,0),2)</f>
        <v>SP</v>
      </c>
      <c r="C49" s="4" t="b">
        <v>0</v>
      </c>
      <c r="D49" s="4" t="b">
        <v>1</v>
      </c>
      <c r="E49" s="3"/>
      <c r="F49" s="1" t="b">
        <f>IF(C49=FALSE,FALSE,TRUE)</f>
        <v>0</v>
      </c>
    </row>
    <row r="50" spans="1:6">
      <c r="A50" s="3" t="str">
        <f>VLOOKUP('Itinerários RJ por transportado'!A426,'Itinerários RJ por transportado'!A:A,1,0)</f>
        <v>DALVA MARQUES DE OLIVEIRA 16060157882</v>
      </c>
      <c r="B50" s="3" t="str">
        <f>LEFT(VLOOKUP(A50,Itinerários_RJ_por_transportadora_pdf[[Transportadora]:[Rota]],2,0),2)</f>
        <v>RJ</v>
      </c>
      <c r="C50" s="4" t="b">
        <v>0</v>
      </c>
      <c r="D50" s="4" t="b">
        <v>1</v>
      </c>
      <c r="E50" s="3"/>
      <c r="F50" s="1" t="b">
        <f>IF(C50=FALSE,FALSE,TRUE)</f>
        <v>0</v>
      </c>
    </row>
    <row r="51" spans="1:6">
      <c r="A51" s="3" t="str">
        <f>VLOOKUP('Itinerários MG por transportado'!A721,'Itinerários MG por transportado'!A:A,1,0)</f>
        <v>DALVA MARQUES DE OLIVEIRA 16060157882</v>
      </c>
      <c r="B51" s="3" t="str">
        <f>LEFT(VLOOKUP(A51,'Itinerários MG por transportado'!A:B,2,0),2)</f>
        <v>MG</v>
      </c>
      <c r="C51" s="4" t="b">
        <v>0</v>
      </c>
      <c r="D51" s="4" t="b">
        <v>1</v>
      </c>
      <c r="E51" s="3"/>
      <c r="F51" s="1" t="b">
        <f>IF(C51=FALSE,FALSE,TRUE)</f>
        <v>0</v>
      </c>
    </row>
    <row r="52" spans="1:6">
      <c r="A52" s="3" t="str">
        <f>VLOOKUP('Itinerários por transportadora '!A225,'Itinerários por transportadora '!A:A,1,0)</f>
        <v>DELASARE TRANSPORTES LTDA</v>
      </c>
      <c r="B52" s="3" t="str">
        <f>LEFT(VLOOKUP(A52,'Itinerários por transportadora '!A:B,2,0),2)</f>
        <v>SP</v>
      </c>
      <c r="C52" s="4" t="b">
        <v>0</v>
      </c>
      <c r="D52" s="4" t="b">
        <v>1</v>
      </c>
      <c r="E52" s="3"/>
      <c r="F52" s="1" t="b">
        <f>IF(C52=FALSE,FALSE,TRUE)</f>
        <v>0</v>
      </c>
    </row>
    <row r="53" spans="1:6">
      <c r="A53" s="3" t="str">
        <f>VLOOKUP('Itinerários RJ por transportado'!A60,'Itinerários RJ por transportado'!A:A,1,0)</f>
        <v>DELASARE TRANSPORTES LTDA</v>
      </c>
      <c r="B53" s="3" t="str">
        <f>LEFT(VLOOKUP(A53,Itinerários_RJ_por_transportadora_pdf[[Transportadora]:[Rota]],2,0),2)</f>
        <v>RJ</v>
      </c>
      <c r="C53" s="4" t="b">
        <v>0</v>
      </c>
      <c r="D53" s="4" t="b">
        <v>1</v>
      </c>
      <c r="E53" s="3"/>
      <c r="F53" s="1" t="b">
        <f>IF(C53=FALSE,FALSE,TRUE)</f>
        <v>0</v>
      </c>
    </row>
    <row r="54" spans="1:6">
      <c r="A54" s="3" t="str">
        <f>VLOOKUP('Itinerários ES por transportado'!A28,'Itinerários ES por transportado'!A:A,1,0)</f>
        <v>DELASARE TRANSPORTES LTDA</v>
      </c>
      <c r="B54" s="3" t="str">
        <f>LEFT(VLOOKUP(A54,Itinerários_ES_por_transportadora_pdf[[Transportadora]:[Rota]],2,0),2)</f>
        <v>ES</v>
      </c>
      <c r="C54" s="4" t="b">
        <v>0</v>
      </c>
      <c r="D54" s="4" t="b">
        <v>1</v>
      </c>
      <c r="E54" s="3"/>
      <c r="F54" s="1" t="b">
        <f>IF(C54=FALSE,FALSE,TRUE)</f>
        <v>0</v>
      </c>
    </row>
    <row r="55" spans="1:6">
      <c r="A55" s="3" t="str">
        <f>VLOOKUP('Itinerários MG por transportado'!A99,'Itinerários MG por transportado'!A:A,1,0)</f>
        <v>DELASARE TRANSPORTES LTDA</v>
      </c>
      <c r="B55" s="3" t="str">
        <f>LEFT(VLOOKUP(A55,'Itinerários MG por transportado'!A:B,2,0),2)</f>
        <v>MG</v>
      </c>
      <c r="C55" s="4" t="b">
        <v>0</v>
      </c>
      <c r="D55" s="4" t="b">
        <v>1</v>
      </c>
      <c r="E55" s="3"/>
      <c r="F55" s="1" t="b">
        <f>IF(C55=FALSE,FALSE,TRUE)</f>
        <v>0</v>
      </c>
    </row>
    <row r="56" spans="1:6">
      <c r="A56" s="3" t="str">
        <f>VLOOKUP('Itinerários por transportadora '!A212,'Itinerários por transportadora '!A:A,1,0)</f>
        <v>DELOG SERVICOS LOGISTICOS LTDA</v>
      </c>
      <c r="B56" s="3" t="str">
        <f>LEFT(VLOOKUP(A56,'Itinerários por transportadora '!A:B,2,0),2)</f>
        <v>SP</v>
      </c>
      <c r="C56" s="4" t="b">
        <v>0</v>
      </c>
      <c r="D56" s="4" t="b">
        <v>1</v>
      </c>
      <c r="E56" s="3"/>
      <c r="F56" s="1" t="b">
        <f>IF(C56=FALSE,FALSE,TRUE)</f>
        <v>0</v>
      </c>
    </row>
    <row r="57" spans="1:6">
      <c r="A57" s="3" t="str">
        <f>VLOOKUP('Itinerários RJ por transportado'!A57,'Itinerários RJ por transportado'!A:A,1,0)</f>
        <v>DELOG SERVICOS LOGISTICOS LTDA</v>
      </c>
      <c r="B57" s="3" t="str">
        <f>LEFT(VLOOKUP(A57,Itinerários_RJ_por_transportadora_pdf[[Transportadora]:[Rota]],2,0),2)</f>
        <v>RJ</v>
      </c>
      <c r="C57" s="4" t="b">
        <v>0</v>
      </c>
      <c r="D57" s="4" t="b">
        <v>1</v>
      </c>
      <c r="E57" s="3"/>
      <c r="F57" s="1" t="b">
        <f>IF(C57=FALSE,FALSE,TRUE)</f>
        <v>0</v>
      </c>
    </row>
    <row r="58" spans="1:6">
      <c r="A58" s="3" t="str">
        <f>VLOOKUP('Itinerários ES por transportado'!A27,'Itinerários ES por transportado'!A:A,1,0)</f>
        <v>DELOG SERVICOS LOGISTICOS LTDA</v>
      </c>
      <c r="B58" s="3" t="str">
        <f>LEFT(VLOOKUP(A58,Itinerários_ES_por_transportadora_pdf[[Transportadora]:[Rota]],2,0),2)</f>
        <v>ES</v>
      </c>
      <c r="C58" s="4" t="b">
        <v>0</v>
      </c>
      <c r="D58" s="4" t="b">
        <v>1</v>
      </c>
      <c r="E58" s="3"/>
      <c r="F58" s="1" t="b">
        <f>IF(C58=FALSE,FALSE,TRUE)</f>
        <v>0</v>
      </c>
    </row>
    <row r="59" spans="1:6">
      <c r="A59" s="3" t="str">
        <f>VLOOKUP('Itinerários MG por transportado'!A96,'Itinerários MG por transportado'!A:A,1,0)</f>
        <v>DELOG SERVICOS LOGISTICOS LTDA</v>
      </c>
      <c r="B59" s="3" t="str">
        <f>LEFT(VLOOKUP(A59,'Itinerários MG por transportado'!A:B,2,0),2)</f>
        <v>MG</v>
      </c>
      <c r="C59" s="4" t="b">
        <v>0</v>
      </c>
      <c r="D59" s="4" t="b">
        <v>1</v>
      </c>
      <c r="E59" s="3"/>
      <c r="F59" s="1" t="b">
        <f>IF(C59=FALSE,FALSE,TRUE)</f>
        <v>0</v>
      </c>
    </row>
    <row r="60" spans="1:6">
      <c r="A60" s="3" t="str">
        <f>VLOOKUP('Itinerários RJ por transportado'!A530,'Itinerários RJ por transportado'!A:A,1,0)</f>
        <v>DORI ALIMENTOS S.A.(UN10)</v>
      </c>
      <c r="B60" s="3" t="str">
        <f>LEFT(VLOOKUP(A60,Itinerários_RJ_por_transportadora_pdf[[Transportadora]:[Rota]],2,0),2)</f>
        <v>RJ</v>
      </c>
      <c r="C60" s="4" t="b">
        <v>0</v>
      </c>
      <c r="D60" s="4" t="b">
        <v>1</v>
      </c>
      <c r="E60" s="3"/>
      <c r="F60" s="1" t="b">
        <f>IF(C60=FALSE,FALSE,TRUE)</f>
        <v>0</v>
      </c>
    </row>
    <row r="61" spans="1:6">
      <c r="A61" s="3" t="str">
        <f>VLOOKUP('Itinerários ES por transportado'!A239,'Itinerários ES por transportado'!A:A,1,0)</f>
        <v>DORI ALIMENTOS S.A.(UN10)</v>
      </c>
      <c r="B61" s="3" t="str">
        <f>LEFT(VLOOKUP(A61,Itinerários_ES_por_transportadora_pdf[[Transportadora]:[Rota]],2,0),2)</f>
        <v>ES</v>
      </c>
      <c r="C61" s="4" t="b">
        <v>0</v>
      </c>
      <c r="D61" s="4" t="b">
        <v>1</v>
      </c>
      <c r="E61" s="3"/>
      <c r="F61" s="1" t="b">
        <f>IF(C61=FALSE,FALSE,TRUE)</f>
        <v>0</v>
      </c>
    </row>
    <row r="62" spans="1:6">
      <c r="A62" s="3" t="str">
        <f>VLOOKUP('Itinerários MG por transportado'!A895,'Itinerários MG por transportado'!A:A,1,0)</f>
        <v>DORI ALIMENTOS S.A.(UN10)</v>
      </c>
      <c r="B62" s="3" t="str">
        <f>LEFT(VLOOKUP(A62,'Itinerários MG por transportado'!A:B,2,0),2)</f>
        <v>MG</v>
      </c>
      <c r="C62" s="4" t="b">
        <v>0</v>
      </c>
      <c r="D62" s="4" t="b">
        <v>1</v>
      </c>
      <c r="E62" s="3"/>
      <c r="F62" s="1" t="b">
        <f>IF(C62=FALSE,FALSE,TRUE)</f>
        <v>0</v>
      </c>
    </row>
    <row r="63" spans="1:6">
      <c r="A63" s="3" t="str">
        <f>VLOOKUP('Itinerários por transportadora '!A488,'Itinerários por transportadora '!A:A,1,0)</f>
        <v>EDERSON MARCELO DE SALES TRANSP ME</v>
      </c>
      <c r="B63" s="3" t="str">
        <f>LEFT(VLOOKUP(A63,'Itinerários por transportadora '!A:B,2,0),2)</f>
        <v>SP</v>
      </c>
      <c r="C63" s="4" t="b">
        <v>0</v>
      </c>
      <c r="D63" s="4" t="b">
        <v>1</v>
      </c>
      <c r="E63" s="3"/>
      <c r="F63" s="1" t="b">
        <f>IF(C63=FALSE,FALSE,TRUE)</f>
        <v>0</v>
      </c>
    </row>
    <row r="64" spans="1:6">
      <c r="A64" s="3" t="str">
        <f>VLOOKUP('Itinerários RJ por transportado'!A208,'Itinerários RJ por transportado'!A:A,1,0)</f>
        <v>EDERSON MARCELO DE SALES TRANSP ME</v>
      </c>
      <c r="B64" s="3" t="str">
        <f>LEFT(VLOOKUP(A64,Itinerários_RJ_por_transportadora_pdf[[Transportadora]:[Rota]],2,0),2)</f>
        <v>RJ</v>
      </c>
      <c r="C64" s="4" t="b">
        <v>0</v>
      </c>
      <c r="D64" s="4" t="b">
        <v>1</v>
      </c>
      <c r="E64" s="3"/>
      <c r="F64" s="1" t="b">
        <f>IF(C64=FALSE,FALSE,TRUE)</f>
        <v>0</v>
      </c>
    </row>
    <row r="65" spans="1:6">
      <c r="A65" s="3" t="str">
        <f>VLOOKUP('Itinerários ES por transportado'!A93,'Itinerários ES por transportado'!A:A,1,0)</f>
        <v>EDERSON MARCELO DE SALES TRANSP ME</v>
      </c>
      <c r="B65" s="3" t="str">
        <f>LEFT(VLOOKUP(A65,Itinerários_ES_por_transportadora_pdf[[Transportadora]:[Rota]],2,0),2)</f>
        <v>ES</v>
      </c>
      <c r="C65" s="4" t="b">
        <v>0</v>
      </c>
      <c r="D65" s="4" t="b">
        <v>1</v>
      </c>
      <c r="E65" s="3"/>
      <c r="F65" s="1" t="b">
        <f>IF(C65=FALSE,FALSE,TRUE)</f>
        <v>0</v>
      </c>
    </row>
    <row r="66" spans="1:6">
      <c r="A66" s="3" t="str">
        <f>VLOOKUP('Itinerários MG por transportado'!A348,'Itinerários MG por transportado'!A:A,1,0)</f>
        <v>EDERSON MARCELO DE SALES TRANSP ME</v>
      </c>
      <c r="B66" s="3" t="str">
        <f>LEFT(VLOOKUP(A66,'Itinerários MG por transportado'!A:B,2,0),2)</f>
        <v>MG</v>
      </c>
      <c r="C66" s="4" t="b">
        <v>0</v>
      </c>
      <c r="D66" s="4" t="b">
        <v>1</v>
      </c>
      <c r="E66" s="3"/>
      <c r="F66" s="1" t="b">
        <f>IF(C66=FALSE,FALSE,TRUE)</f>
        <v>0</v>
      </c>
    </row>
    <row r="67" spans="1:6">
      <c r="A67" s="3" t="str">
        <f>VLOOKUP('Itinerários por transportadora '!A633,'Itinerários por transportadora '!A:A,1,0)</f>
        <v>EDINEI PEREIRA DE FREITAS</v>
      </c>
      <c r="B67" s="3" t="str">
        <f>LEFT(VLOOKUP(A67,'Itinerários por transportadora '!A:B,2,0),2)</f>
        <v>SP</v>
      </c>
      <c r="C67" s="4" t="b">
        <v>0</v>
      </c>
      <c r="D67" s="4" t="b">
        <v>1</v>
      </c>
      <c r="E67" s="3"/>
      <c r="F67" s="1" t="b">
        <f>IF(C67=FALSE,FALSE,TRUE)</f>
        <v>0</v>
      </c>
    </row>
    <row r="68" spans="1:6">
      <c r="A68" s="3" t="str">
        <f>VLOOKUP('Itinerários RJ por transportado'!A288,'Itinerários RJ por transportado'!A:A,1,0)</f>
        <v>EDINEI PEREIRA DE FREITAS</v>
      </c>
      <c r="B68" s="3" t="str">
        <f>LEFT(VLOOKUP(A68,Itinerários_RJ_por_transportadora_pdf[[Transportadora]:[Rota]],2,0),2)</f>
        <v>RJ</v>
      </c>
      <c r="C68" s="4" t="b">
        <v>0</v>
      </c>
      <c r="D68" s="4" t="b">
        <v>1</v>
      </c>
      <c r="E68" s="3"/>
      <c r="F68" s="1" t="b">
        <f>IF(C68=FALSE,FALSE,TRUE)</f>
        <v>0</v>
      </c>
    </row>
    <row r="69" spans="1:6">
      <c r="A69" s="3" t="str">
        <f>VLOOKUP('Itinerários ES por transportado'!A134,'Itinerários ES por transportado'!A:A,1,0)</f>
        <v>EDINEI PEREIRA DE FREITAS</v>
      </c>
      <c r="B69" s="3" t="str">
        <f>LEFT(VLOOKUP(A69,Itinerários_ES_por_transportadora_pdf[[Transportadora]:[Rota]],2,0),2)</f>
        <v>ES</v>
      </c>
      <c r="C69" s="4" t="b">
        <v>0</v>
      </c>
      <c r="D69" s="4" t="b">
        <v>1</v>
      </c>
      <c r="E69" s="3"/>
      <c r="F69" s="1" t="b">
        <f>IF(C69=FALSE,FALSE,TRUE)</f>
        <v>0</v>
      </c>
    </row>
    <row r="70" spans="1:6">
      <c r="A70" s="3" t="str">
        <f>VLOOKUP('Itinerários MG por transportado'!A485,'Itinerários MG por transportado'!A:A,1,0)</f>
        <v>EDINEI PEREIRA DE FREITAS</v>
      </c>
      <c r="B70" s="3" t="str">
        <f>LEFT(VLOOKUP(A70,'Itinerários MG por transportado'!A:B,2,0),2)</f>
        <v>MG</v>
      </c>
      <c r="C70" s="4" t="b">
        <v>0</v>
      </c>
      <c r="D70" s="4" t="b">
        <v>1</v>
      </c>
      <c r="E70" s="3"/>
      <c r="F70" s="1" t="b">
        <f>IF(C70=FALSE,FALSE,TRUE)</f>
        <v>0</v>
      </c>
    </row>
    <row r="71" spans="1:6">
      <c r="A71" s="3" t="str">
        <f>VLOOKUP('Itinerários RJ por transportado'!A488,'Itinerários RJ por transportado'!A:A,1,0)</f>
        <v>ERICA FLAVIANE IOSSAQUI MATTOS RIBEIRO 36991321885</v>
      </c>
      <c r="B71" s="3" t="str">
        <f>LEFT(VLOOKUP(A71,Itinerários_RJ_por_transportadora_pdf[[Transportadora]:[Rota]],2,0),2)</f>
        <v>RJ</v>
      </c>
      <c r="C71" s="4" t="b">
        <v>0</v>
      </c>
      <c r="D71" s="4" t="b">
        <v>1</v>
      </c>
      <c r="E71" s="3"/>
      <c r="F71" s="1" t="b">
        <f>IF(C71=FALSE,FALSE,TRUE)</f>
        <v>0</v>
      </c>
    </row>
    <row r="72" spans="1:6">
      <c r="A72" s="3" t="str">
        <f>VLOOKUP('Itinerários MG por transportado'!A827,'Itinerários MG por transportado'!A:A,1,0)</f>
        <v>ERICA FLAVIANE IOSSAQUI MATTOS RIBEIRO 36991321885</v>
      </c>
      <c r="B72" s="3" t="str">
        <f>LEFT(VLOOKUP(A72,'Itinerários MG por transportado'!A:B,2,0),2)</f>
        <v>MG</v>
      </c>
      <c r="C72" s="4" t="b">
        <v>0</v>
      </c>
      <c r="D72" s="4" t="b">
        <v>1</v>
      </c>
      <c r="E72" s="3"/>
      <c r="F72" s="1" t="b">
        <f>IF(C72=FALSE,FALSE,TRUE)</f>
        <v>0</v>
      </c>
    </row>
    <row r="73" spans="1:6">
      <c r="A73" s="3" t="str">
        <f>VLOOKUP('Itinerários ES por transportado'!A223,'Itinerários ES por transportado'!A:A,1,0)</f>
        <v>ERICA FLAVIANE IOSSAQUI MATTOS RIBEIRO
36991321885</v>
      </c>
      <c r="B73" s="3" t="str">
        <f>LEFT(VLOOKUP(A73,Itinerários_ES_por_transportadora_pdf[[Transportadora]:[Rota]],2,0),2)</f>
        <v>ES</v>
      </c>
      <c r="C73" s="4" t="b">
        <v>0</v>
      </c>
      <c r="D73" s="4" t="b">
        <v>1</v>
      </c>
      <c r="E73" s="3"/>
      <c r="F73" s="1" t="b">
        <f>IF(C73=FALSE,FALSE,TRUE)</f>
        <v>0</v>
      </c>
    </row>
    <row r="74" spans="1:6">
      <c r="A74" s="3" t="str">
        <f>VLOOKUP('Itinerários por transportadora '!A293,'Itinerários por transportadora '!A:A,1,0)</f>
        <v>FACCHINI TRANSPORTES</v>
      </c>
      <c r="B74" s="3" t="str">
        <f>LEFT(VLOOKUP(A74,'Itinerários por transportadora '!A:B,2,0),2)</f>
        <v>SP</v>
      </c>
      <c r="C74" s="4" t="b">
        <v>0</v>
      </c>
      <c r="D74" s="4" t="b">
        <v>1</v>
      </c>
      <c r="E74" s="3"/>
      <c r="F74" s="1" t="b">
        <f>IF(C74=FALSE,FALSE,TRUE)</f>
        <v>0</v>
      </c>
    </row>
    <row r="75" spans="1:6">
      <c r="A75" s="3" t="str">
        <f>VLOOKUP('Itinerários RJ por transportado'!A102,'Itinerários RJ por transportado'!A:A,1,0)</f>
        <v>FACCHINI TRANSPORTES</v>
      </c>
      <c r="B75" s="3" t="str">
        <f>LEFT(VLOOKUP(A75,Itinerários_RJ_por_transportadora_pdf[[Transportadora]:[Rota]],2,0),2)</f>
        <v>RJ</v>
      </c>
      <c r="C75" s="4" t="b">
        <v>0</v>
      </c>
      <c r="D75" s="4" t="b">
        <v>1</v>
      </c>
      <c r="E75" s="3"/>
      <c r="F75" s="1" t="b">
        <f>IF(C75=FALSE,FALSE,TRUE)</f>
        <v>0</v>
      </c>
    </row>
    <row r="76" spans="1:6">
      <c r="A76" s="3" t="str">
        <f>VLOOKUP('Itinerários ES por transportado'!A46,'Itinerários ES por transportado'!A:A,1,0)</f>
        <v>FACCHINI TRANSPORTES</v>
      </c>
      <c r="B76" s="3" t="str">
        <f>LEFT(VLOOKUP(A76,Itinerários_ES_por_transportadora_pdf[[Transportadora]:[Rota]],2,0),2)</f>
        <v>ES</v>
      </c>
      <c r="C76" s="4" t="b">
        <v>0</v>
      </c>
      <c r="D76" s="4" t="b">
        <v>1</v>
      </c>
      <c r="E76" s="3"/>
      <c r="F76" s="1" t="b">
        <f>IF(C76=FALSE,FALSE,TRUE)</f>
        <v>0</v>
      </c>
    </row>
    <row r="77" spans="1:6">
      <c r="A77" s="3" t="str">
        <f>VLOOKUP('Itinerários MG por transportado'!A169,'Itinerários MG por transportado'!A:A,1,0)</f>
        <v>FACCHINI TRANSPORTES</v>
      </c>
      <c r="B77" s="3" t="str">
        <f>LEFT(VLOOKUP(A77,'Itinerários MG por transportado'!A:B,2,0),2)</f>
        <v>MG</v>
      </c>
      <c r="C77" s="4" t="b">
        <v>0</v>
      </c>
      <c r="D77" s="4" t="b">
        <v>1</v>
      </c>
      <c r="E77" s="3"/>
      <c r="F77" s="1" t="b">
        <f>IF(C77=FALSE,FALSE,TRUE)</f>
        <v>0</v>
      </c>
    </row>
    <row r="78" spans="1:6">
      <c r="A78" s="3" t="str">
        <f>VLOOKUP('Itinerários por transportadora '!A224,'Itinerários por transportadora '!A:A,1,0)</f>
        <v>GAT LOGISTICA</v>
      </c>
      <c r="B78" s="3" t="str">
        <f>LEFT(VLOOKUP(A78,'Itinerários por transportadora '!A:B,2,0),2)</f>
        <v>SP</v>
      </c>
      <c r="C78" s="4" t="b">
        <v>0</v>
      </c>
      <c r="D78" s="4" t="b">
        <v>1</v>
      </c>
      <c r="E78" s="3"/>
      <c r="F78" s="1" t="b">
        <f>IF(C78=FALSE,FALSE,TRUE)</f>
        <v>0</v>
      </c>
    </row>
    <row r="79" spans="1:6">
      <c r="A79" s="3" t="str">
        <f>VLOOKUP('Itinerários MG por transportado'!A98,'Itinerários MG por transportado'!A:A,1,0)</f>
        <v>GAT LOGISTICA</v>
      </c>
      <c r="B79" s="3" t="str">
        <f>LEFT(VLOOKUP(A79,'Itinerários MG por transportado'!A:B,2,0),2)</f>
        <v>MG</v>
      </c>
      <c r="C79" s="4" t="b">
        <v>0</v>
      </c>
      <c r="D79" s="4" t="b">
        <v>1</v>
      </c>
      <c r="E79" s="3"/>
      <c r="F79" s="1" t="b">
        <f>IF(C79=FALSE,FALSE,TRUE)</f>
        <v>0</v>
      </c>
    </row>
    <row r="80" spans="1:6">
      <c r="A80" s="3" t="str">
        <f>VLOOKUP('Itinerários por transportadora '!A980,'Itinerários por transportadora '!A:A,1,0)</f>
        <v>GLEICIANE DOS SANTOS GOMES</v>
      </c>
      <c r="B80" s="3" t="str">
        <f>LEFT(VLOOKUP(A80,'Itinerários por transportadora '!A:B,2,0),2)</f>
        <v>SP</v>
      </c>
      <c r="C80" s="4" t="b">
        <v>0</v>
      </c>
      <c r="D80" s="4" t="b">
        <v>1</v>
      </c>
      <c r="E80" s="3"/>
      <c r="F80" s="1" t="b">
        <f>IF(C80=FALSE,FALSE,TRUE)</f>
        <v>0</v>
      </c>
    </row>
    <row r="81" spans="1:6">
      <c r="A81" s="3" t="str">
        <f>VLOOKUP('Itinerários RJ por transportado'!A458,'Itinerários RJ por transportado'!A:A,1,0)</f>
        <v>GLEICIANE DOS SANTOS GOMES</v>
      </c>
      <c r="B81" s="3" t="str">
        <f>LEFT(VLOOKUP(A81,Itinerários_RJ_por_transportadora_pdf[[Transportadora]:[Rota]],2,0),2)</f>
        <v>RJ</v>
      </c>
      <c r="C81" s="4" t="b">
        <v>0</v>
      </c>
      <c r="D81" s="4" t="b">
        <v>1</v>
      </c>
      <c r="E81" s="3"/>
      <c r="F81" s="1" t="b">
        <f>IF(C81=FALSE,FALSE,TRUE)</f>
        <v>0</v>
      </c>
    </row>
    <row r="82" spans="1:6">
      <c r="A82" s="3" t="str">
        <f>VLOOKUP('Itinerários ES por transportado'!A211,'Itinerários ES por transportado'!A:A,1,0)</f>
        <v>GLEICIANE DOS SANTOS GOMES</v>
      </c>
      <c r="B82" s="3" t="str">
        <f>LEFT(VLOOKUP(A82,Itinerários_ES_por_transportadora_pdf[[Transportadora]:[Rota]],2,0),2)</f>
        <v>ES</v>
      </c>
      <c r="C82" s="4" t="b">
        <v>0</v>
      </c>
      <c r="D82" s="4" t="b">
        <v>1</v>
      </c>
      <c r="E82" s="3"/>
      <c r="F82" s="1" t="b">
        <f>IF(C82=FALSE,FALSE,TRUE)</f>
        <v>0</v>
      </c>
    </row>
    <row r="83" spans="1:6">
      <c r="A83" s="3" t="str">
        <f>VLOOKUP('Itinerários MG por transportado'!A775,'Itinerários MG por transportado'!A:A,1,0)</f>
        <v>GLEICIANE DOS SANTOS GOMES</v>
      </c>
      <c r="B83" s="3" t="str">
        <f>LEFT(VLOOKUP(A83,'Itinerários MG por transportado'!A:B,2,0),2)</f>
        <v>MG</v>
      </c>
      <c r="C83" s="4" t="b">
        <v>0</v>
      </c>
      <c r="D83" s="4" t="b">
        <v>1</v>
      </c>
      <c r="E83" s="3"/>
      <c r="F83" s="1" t="b">
        <f>IF(C83=FALSE,FALSE,TRUE)</f>
        <v>0</v>
      </c>
    </row>
    <row r="84" spans="1:6">
      <c r="A84" s="3" t="str">
        <f>VLOOKUP('Itinerários por transportadora '!A828,'Itinerários por transportadora '!A:A,1,0)</f>
        <v>GR TRANSPORTE RODOVIÁRIO DE CARGAS EIRELI</v>
      </c>
      <c r="B84" s="3" t="str">
        <f>LEFT(VLOOKUP(A84,'Itinerários por transportadora '!A:B,2,0),2)</f>
        <v>SP</v>
      </c>
      <c r="C84" s="4" t="b">
        <v>0</v>
      </c>
      <c r="D84" s="4" t="b">
        <v>1</v>
      </c>
      <c r="E84" s="3"/>
      <c r="F84" s="1" t="b">
        <f>IF(C84=FALSE,FALSE,TRUE)</f>
        <v>0</v>
      </c>
    </row>
    <row r="85" spans="1:6">
      <c r="A85" s="3" t="str">
        <f>VLOOKUP('Itinerários RJ por transportado'!A401,'Itinerários RJ por transportado'!A:A,1,0)</f>
        <v>GR TRANSPORTE RODOVIÁRIO DE CARGAS EIRELI</v>
      </c>
      <c r="B85" s="3" t="str">
        <f>LEFT(VLOOKUP(A85,Itinerários_RJ_por_transportadora_pdf[[Transportadora]:[Rota]],2,0),2)</f>
        <v>RJ</v>
      </c>
      <c r="C85" s="4" t="b">
        <v>0</v>
      </c>
      <c r="D85" s="4" t="b">
        <v>1</v>
      </c>
      <c r="E85" s="3"/>
      <c r="F85" s="1" t="b">
        <f>IF(C85=FALSE,FALSE,TRUE)</f>
        <v>0</v>
      </c>
    </row>
    <row r="86" spans="1:6">
      <c r="A86" s="3" t="str">
        <f>VLOOKUP('Itinerários ES por transportado'!A179,'Itinerários ES por transportado'!A:A,1,0)</f>
        <v>GR TRANSPORTE RODOVIÁRIO DE CARGAS EIRELI</v>
      </c>
      <c r="B86" s="3" t="str">
        <f>LEFT(VLOOKUP(A86,Itinerários_ES_por_transportadora_pdf[[Transportadora]:[Rota]],2,0),2)</f>
        <v>ES</v>
      </c>
      <c r="C86" s="4" t="b">
        <v>0</v>
      </c>
      <c r="D86" s="4" t="b">
        <v>1</v>
      </c>
      <c r="E86" s="3"/>
      <c r="F86" s="1" t="b">
        <f>IF(C86=FALSE,FALSE,TRUE)</f>
        <v>0</v>
      </c>
    </row>
    <row r="87" spans="1:6">
      <c r="A87" s="3" t="str">
        <f>VLOOKUP('Itinerários MG por transportado'!A679,'Itinerários MG por transportado'!A:A,1,0)</f>
        <v>GR TRANSPORTE RODOVIÁRIO DE CARGAS EIRELI</v>
      </c>
      <c r="B87" s="3" t="str">
        <f>LEFT(VLOOKUP(A87,'Itinerários MG por transportado'!A:B,2,0),2)</f>
        <v>MG</v>
      </c>
      <c r="C87" s="4" t="b">
        <v>0</v>
      </c>
      <c r="D87" s="4" t="b">
        <v>1</v>
      </c>
      <c r="E87" s="3"/>
      <c r="F87" s="1" t="b">
        <f>IF(C87=FALSE,FALSE,TRUE)</f>
        <v>0</v>
      </c>
    </row>
    <row r="88" spans="1:6">
      <c r="A88" s="3" t="str">
        <f>VLOOKUP('Itinerários RJ por transportado'!A600,'Itinerários RJ por transportado'!A:A,1,0)</f>
        <v>GUILHERME PALOMO DE SOUSA</v>
      </c>
      <c r="B88" s="3" t="str">
        <f>LEFT(VLOOKUP(A88,Itinerários_RJ_por_transportadora_pdf[[Transportadora]:[Rota]],2,0),2)</f>
        <v>RJ</v>
      </c>
      <c r="C88" s="4" t="b">
        <v>0</v>
      </c>
      <c r="D88" s="4" t="b">
        <v>1</v>
      </c>
      <c r="E88" s="3"/>
      <c r="F88" s="1" t="b">
        <f>IF(C88=FALSE,FALSE,TRUE)</f>
        <v>0</v>
      </c>
    </row>
    <row r="89" spans="1:6">
      <c r="A89" s="3" t="str">
        <f>VLOOKUP('Itinerários ES por transportado'!A279,'Itinerários ES por transportado'!A:A,1,0)</f>
        <v>GUILHERME PALOMO DE SOUSA</v>
      </c>
      <c r="B89" s="3" t="str">
        <f>LEFT(VLOOKUP(A89,Itinerários_ES_por_transportadora_pdf[[Transportadora]:[Rota]],2,0),2)</f>
        <v>ES</v>
      </c>
      <c r="C89" s="4" t="b">
        <v>0</v>
      </c>
      <c r="D89" s="4" t="b">
        <v>1</v>
      </c>
      <c r="E89" s="3"/>
      <c r="F89" s="1" t="b">
        <f>IF(C89=FALSE,FALSE,TRUE)</f>
        <v>0</v>
      </c>
    </row>
    <row r="90" spans="1:6">
      <c r="A90" s="3" t="str">
        <f>VLOOKUP('Itinerários por transportadora '!A929,'Itinerários por transportadora '!A:A,1,0)</f>
        <v>IVONE GOLIN LOUREIRO 13659043850</v>
      </c>
      <c r="B90" s="3" t="str">
        <f>LEFT(VLOOKUP(A90,'Itinerários por transportadora '!A:B,2,0),2)</f>
        <v>SP</v>
      </c>
      <c r="C90" s="4" t="b">
        <v>0</v>
      </c>
      <c r="D90" s="4" t="b">
        <v>1</v>
      </c>
      <c r="E90" s="3"/>
      <c r="F90" s="1" t="b">
        <f>IF(C90=FALSE,FALSE,TRUE)</f>
        <v>0</v>
      </c>
    </row>
    <row r="91" spans="1:6">
      <c r="A91" s="3" t="str">
        <f>VLOOKUP('Itinerários RJ por transportado'!A438,'Itinerários RJ por transportado'!A:A,1,0)</f>
        <v>IVONE GOLIN LOUREIRO 13659043850</v>
      </c>
      <c r="B91" s="3" t="str">
        <f>LEFT(VLOOKUP(A91,Itinerários_RJ_por_transportadora_pdf[[Transportadora]:[Rota]],2,0),2)</f>
        <v>RJ</v>
      </c>
      <c r="C91" s="4" t="b">
        <v>0</v>
      </c>
      <c r="D91" s="4" t="b">
        <v>1</v>
      </c>
      <c r="E91" s="3"/>
      <c r="F91" s="1" t="b">
        <f>IF(C91=FALSE,FALSE,TRUE)</f>
        <v>0</v>
      </c>
    </row>
    <row r="92" spans="1:6">
      <c r="A92" s="3" t="str">
        <f>VLOOKUP('Itinerários ES por transportado'!A201,'Itinerários ES por transportado'!A:A,1,0)</f>
        <v>IVONE GOLIN LOUREIRO 13659043850</v>
      </c>
      <c r="B92" s="3" t="str">
        <f>LEFT(VLOOKUP(A92,Itinerários_ES_por_transportadora_pdf[[Transportadora]:[Rota]],2,0),2)</f>
        <v>ES</v>
      </c>
      <c r="C92" s="4" t="b">
        <v>0</v>
      </c>
      <c r="D92" s="4" t="b">
        <v>1</v>
      </c>
      <c r="E92" s="3"/>
      <c r="F92" s="1" t="b">
        <f>IF(C92=FALSE,FALSE,TRUE)</f>
        <v>0</v>
      </c>
    </row>
    <row r="93" spans="1:6">
      <c r="A93" s="3" t="str">
        <f>VLOOKUP('Itinerários MG por transportado'!A740,'Itinerários MG por transportado'!A:A,1,0)</f>
        <v>IVONE GOLIN LOUREIRO 13659043850</v>
      </c>
      <c r="B93" s="3" t="str">
        <f>LEFT(VLOOKUP(A93,'Itinerários MG por transportado'!A:B,2,0),2)</f>
        <v>MG</v>
      </c>
      <c r="C93" s="4" t="b">
        <v>0</v>
      </c>
      <c r="D93" s="4" t="b">
        <v>1</v>
      </c>
      <c r="E93" s="3"/>
      <c r="F93" s="1" t="b">
        <f>IF(C93=FALSE,FALSE,TRUE)</f>
        <v>0</v>
      </c>
    </row>
    <row r="94" spans="1:6">
      <c r="A94" s="3" t="str">
        <f>VLOOKUP('Itinerários por transportadora '!A651,'Itinerários por transportadora '!A:A,1,0)</f>
        <v>JETTA TRANSPORTES</v>
      </c>
      <c r="B94" s="3" t="str">
        <f>LEFT(VLOOKUP(A94,'Itinerários por transportadora '!A:B,2,0),2)</f>
        <v>SP</v>
      </c>
      <c r="C94" s="4" t="b">
        <v>0</v>
      </c>
      <c r="D94" s="4" t="b">
        <v>1</v>
      </c>
      <c r="E94" s="3"/>
      <c r="F94" s="1" t="b">
        <f>IF(C94=FALSE,FALSE,TRUE)</f>
        <v>0</v>
      </c>
    </row>
    <row r="95" spans="1:6">
      <c r="A95" s="3" t="str">
        <f>VLOOKUP('Itinerários por transportadora '!A525,'Itinerários por transportadora '!A:A,1,0)</f>
        <v>JOAO DE OLIVEIRA MATTOS TRANSPORTES</v>
      </c>
      <c r="B95" s="3" t="str">
        <f>LEFT(VLOOKUP(A95,'Itinerários por transportadora '!A:B,2,0),2)</f>
        <v>SP</v>
      </c>
      <c r="C95" s="4" t="b">
        <v>0</v>
      </c>
      <c r="D95" s="4" t="b">
        <v>1</v>
      </c>
      <c r="E95" s="3"/>
      <c r="F95" s="1" t="b">
        <f>IF(C95=FALSE,FALSE,TRUE)</f>
        <v>0</v>
      </c>
    </row>
    <row r="96" spans="1:6">
      <c r="A96" s="3" t="str">
        <f>VLOOKUP('Itinerários RJ por transportado'!A228,'Itinerários RJ por transportado'!A:A,1,0)</f>
        <v>JOAO DE OLIVEIRA MATTOS TRANSPORTES</v>
      </c>
      <c r="B96" s="3" t="str">
        <f>LEFT(VLOOKUP(A96,Itinerários_RJ_por_transportadora_pdf[[Transportadora]:[Rota]],2,0),2)</f>
        <v>RJ</v>
      </c>
      <c r="C96" s="4" t="b">
        <v>0</v>
      </c>
      <c r="D96" s="4" t="b">
        <v>1</v>
      </c>
      <c r="E96" s="3"/>
      <c r="F96" s="1" t="b">
        <f>IF(C96=FALSE,FALSE,TRUE)</f>
        <v>0</v>
      </c>
    </row>
    <row r="97" spans="1:6">
      <c r="A97" s="3" t="str">
        <f>VLOOKUP('Itinerários ES por transportado'!A101,'Itinerários ES por transportado'!A:A,1,0)</f>
        <v>JOAO DE OLIVEIRA MATTOS TRANSPORTES</v>
      </c>
      <c r="B97" s="3" t="str">
        <f>LEFT(VLOOKUP(A97,Itinerários_ES_por_transportadora_pdf[[Transportadora]:[Rota]],2,0),2)</f>
        <v>ES</v>
      </c>
      <c r="C97" s="4" t="b">
        <v>0</v>
      </c>
      <c r="D97" s="4" t="b">
        <v>1</v>
      </c>
      <c r="E97" s="3"/>
      <c r="F97" s="1" t="b">
        <f>IF(C97=FALSE,FALSE,TRUE)</f>
        <v>0</v>
      </c>
    </row>
    <row r="98" spans="1:6">
      <c r="A98" s="3" t="str">
        <f>VLOOKUP('Itinerários MG por transportado'!A382,'Itinerários MG por transportado'!A:A,1,0)</f>
        <v>JOAO DE OLIVEIRA MATTOS TRANSPORTES</v>
      </c>
      <c r="B98" s="3" t="str">
        <f>LEFT(VLOOKUP(A98,'Itinerários MG por transportado'!A:B,2,0),2)</f>
        <v>MG</v>
      </c>
      <c r="C98" s="4" t="b">
        <v>0</v>
      </c>
      <c r="D98" s="4" t="b">
        <v>1</v>
      </c>
      <c r="E98" s="3"/>
      <c r="F98" s="1" t="b">
        <f>IF(C98=FALSE,FALSE,TRUE)</f>
        <v>0</v>
      </c>
    </row>
    <row r="99" spans="1:6">
      <c r="A99" s="3" t="str">
        <f>VLOOKUP('Itinerários por transportadora '!A826,'Itinerários por transportadora '!A:A,1,0)</f>
        <v>JOAQUIM AUGUSTO PEREIRA JUNIOR 03268463878</v>
      </c>
      <c r="B99" s="3" t="str">
        <f>LEFT(VLOOKUP(A99,'Itinerários por transportadora '!A:B,2,0),2)</f>
        <v>SP</v>
      </c>
      <c r="C99" s="4" t="b">
        <v>0</v>
      </c>
      <c r="D99" s="4" t="b">
        <v>1</v>
      </c>
      <c r="E99" s="3"/>
      <c r="F99" s="1" t="b">
        <f>IF(C99=FALSE,FALSE,TRUE)</f>
        <v>0</v>
      </c>
    </row>
    <row r="100" spans="1:6">
      <c r="A100" s="3" t="str">
        <f>VLOOKUP('Itinerários por transportadora '!A696,'Itinerários por transportadora '!A:A,1,0)</f>
        <v>JOSE GUILHERME DE SOUSA TRANSP</v>
      </c>
      <c r="B100" s="3" t="str">
        <f>LEFT(VLOOKUP(A100,'Itinerários por transportadora '!A:B,2,0),2)</f>
        <v>SP</v>
      </c>
      <c r="C100" s="4" t="b">
        <v>0</v>
      </c>
      <c r="D100" s="4" t="b">
        <v>1</v>
      </c>
      <c r="E100" s="3"/>
      <c r="F100" s="1" t="b">
        <f>IF(C100=FALSE,FALSE,TRUE)</f>
        <v>0</v>
      </c>
    </row>
    <row r="101" spans="1:6">
      <c r="A101" s="3" t="str">
        <f>VLOOKUP('Itinerários RJ por transportado'!A318,'Itinerários RJ por transportado'!A:A,1,0)</f>
        <v>JOSE GUILHERME DE SOUSA TRANSP</v>
      </c>
      <c r="B101" s="3" t="str">
        <f>LEFT(VLOOKUP(A101,Itinerários_RJ_por_transportadora_pdf[[Transportadora]:[Rota]],2,0),2)</f>
        <v>RJ</v>
      </c>
      <c r="C101" s="4" t="b">
        <v>0</v>
      </c>
      <c r="D101" s="4" t="b">
        <v>1</v>
      </c>
      <c r="E101" s="3"/>
      <c r="F101" s="1" t="b">
        <f>IF(C101=FALSE,FALSE,TRUE)</f>
        <v>0</v>
      </c>
    </row>
    <row r="102" spans="1:6">
      <c r="A102" s="3" t="str">
        <f>VLOOKUP('Itinerários ES por transportado'!A146,'Itinerários ES por transportado'!A:A,1,0)</f>
        <v>JOSE GUILHERME DE SOUSA TRANSP</v>
      </c>
      <c r="B102" s="3" t="str">
        <f>LEFT(VLOOKUP(A102,Itinerários_ES_por_transportadora_pdf[[Transportadora]:[Rota]],2,0),2)</f>
        <v>ES</v>
      </c>
      <c r="C102" s="4" t="b">
        <v>0</v>
      </c>
      <c r="D102" s="4" t="b">
        <v>1</v>
      </c>
      <c r="E102" s="3"/>
      <c r="F102" s="1" t="b">
        <f>IF(C102=FALSE,FALSE,TRUE)</f>
        <v>0</v>
      </c>
    </row>
    <row r="103" spans="1:6">
      <c r="A103" s="3" t="str">
        <f>VLOOKUP('Itinerários MG por transportado'!A537,'Itinerários MG por transportado'!A:A,1,0)</f>
        <v>JOSE GUILHERME DE SOUSA TRANSP</v>
      </c>
      <c r="B103" s="3" t="str">
        <f>LEFT(VLOOKUP(A103,'Itinerários MG por transportado'!A:B,2,0),2)</f>
        <v>MG</v>
      </c>
      <c r="C103" s="4" t="b">
        <v>0</v>
      </c>
      <c r="D103" s="4" t="b">
        <v>1</v>
      </c>
      <c r="E103" s="3"/>
      <c r="F103" s="1" t="b">
        <f>IF(C103=FALSE,FALSE,TRUE)</f>
        <v>0</v>
      </c>
    </row>
    <row r="104" spans="1:6">
      <c r="A104" s="3" t="str">
        <f>VLOOKUP('Itinerários RJ por transportado'!A478,'Itinerários RJ por transportado'!A:A,1,0)</f>
        <v>JOSE ROBERTO CASTRO DA SILVA TRANSPORTES</v>
      </c>
      <c r="B104" s="3" t="str">
        <f>LEFT(VLOOKUP(A104,Itinerários_RJ_por_transportadora_pdf[[Transportadora]:[Rota]],2,0),2)</f>
        <v>RJ</v>
      </c>
      <c r="C104" s="4" t="b">
        <v>0</v>
      </c>
      <c r="D104" s="4" t="b">
        <v>1</v>
      </c>
      <c r="E104" s="3"/>
      <c r="F104" s="1" t="b">
        <f>IF(C104=FALSE,FALSE,TRUE)</f>
        <v>0</v>
      </c>
    </row>
    <row r="105" spans="1:6">
      <c r="A105" s="3" t="str">
        <f>VLOOKUP('Itinerários ES por transportado'!A219,'Itinerários ES por transportado'!A:A,1,0)</f>
        <v>JOSE ROBERTO CASTRO DA SILVA TRANSPORTES</v>
      </c>
      <c r="B105" s="3" t="str">
        <f>LEFT(VLOOKUP(A105,Itinerários_ES_por_transportadora_pdf[[Transportadora]:[Rota]],2,0),2)</f>
        <v>ES</v>
      </c>
      <c r="C105" s="4" t="b">
        <v>0</v>
      </c>
      <c r="D105" s="4" t="b">
        <v>1</v>
      </c>
      <c r="E105" s="3"/>
      <c r="F105" s="1" t="b">
        <f>IF(C105=FALSE,FALSE,TRUE)</f>
        <v>0</v>
      </c>
    </row>
    <row r="106" spans="1:6">
      <c r="A106" s="3" t="str">
        <f>VLOOKUP('Itinerários MG por transportado'!A810,'Itinerários MG por transportado'!A:A,1,0)</f>
        <v>JOSE ROBERTO CASTRO DA SILVA TRANSPORTES</v>
      </c>
      <c r="B106" s="3" t="str">
        <f>LEFT(VLOOKUP(A106,'Itinerários MG por transportado'!A:B,2,0),2)</f>
        <v>MG</v>
      </c>
      <c r="C106" s="4" t="b">
        <v>0</v>
      </c>
      <c r="D106" s="4" t="b">
        <v>1</v>
      </c>
      <c r="E106" s="3"/>
      <c r="F106" s="1" t="b">
        <f>IF(C106=FALSE,FALSE,TRUE)</f>
        <v>0</v>
      </c>
    </row>
    <row r="107" spans="1:6">
      <c r="A107" s="3" t="str">
        <f>VLOOKUP('Itinerários por transportadora '!A353,'Itinerários por transportadora '!A:A,1,0)</f>
        <v>JULICLER APARECIDA DOS SANTOS GOMES ME</v>
      </c>
      <c r="B107" s="3" t="str">
        <f>LEFT(VLOOKUP(A107,'Itinerários por transportadora '!A:B,2,0),2)</f>
        <v>SP</v>
      </c>
      <c r="C107" s="4" t="b">
        <v>0</v>
      </c>
      <c r="D107" s="4" t="b">
        <v>1</v>
      </c>
      <c r="E107" s="3"/>
      <c r="F107" s="1" t="b">
        <f>IF(C107=FALSE,FALSE,TRUE)</f>
        <v>0</v>
      </c>
    </row>
    <row r="108" spans="1:6">
      <c r="A108" s="3" t="str">
        <f>VLOOKUP('Itinerários RJ por transportado'!A142,'Itinerários RJ por transportado'!A:A,1,0)</f>
        <v>JULICLER APARECIDA DOS SANTOS GOMES ME</v>
      </c>
      <c r="B108" s="3" t="str">
        <f>LEFT(VLOOKUP(A108,Itinerários_RJ_por_transportadora_pdf[[Transportadora]:[Rota]],2,0),2)</f>
        <v>RJ</v>
      </c>
      <c r="C108" s="4" t="b">
        <v>0</v>
      </c>
      <c r="D108" s="4" t="b">
        <v>1</v>
      </c>
      <c r="E108" s="3"/>
      <c r="F108" s="1" t="b">
        <f>IF(C108=FALSE,FALSE,TRUE)</f>
        <v>0</v>
      </c>
    </row>
    <row r="109" spans="1:6">
      <c r="A109" s="3" t="str">
        <f>VLOOKUP('Itinerários ES por transportado'!A65,'Itinerários ES por transportado'!A:A,1,0)</f>
        <v>JULICLER APARECIDA DOS SANTOS GOMES ME</v>
      </c>
      <c r="B109" s="3" t="str">
        <f>LEFT(VLOOKUP(A109,Itinerários_ES_por_transportadora_pdf[[Transportadora]:[Rota]],2,0),2)</f>
        <v>ES</v>
      </c>
      <c r="C109" s="4" t="b">
        <v>0</v>
      </c>
      <c r="D109" s="4" t="b">
        <v>1</v>
      </c>
      <c r="E109" s="3"/>
      <c r="F109" s="1" t="b">
        <f>IF(C109=FALSE,FALSE,TRUE)</f>
        <v>0</v>
      </c>
    </row>
    <row r="110" spans="1:6">
      <c r="A110" s="3" t="str">
        <f>VLOOKUP('Itinerários MG por transportado'!A238,'Itinerários MG por transportado'!A:A,1,0)</f>
        <v>JULICLER APARECIDA DOS SANTOS GOMES ME</v>
      </c>
      <c r="B110" s="3" t="str">
        <f>LEFT(VLOOKUP(A110,'Itinerários MG por transportado'!A:B,2,0),2)</f>
        <v>MG</v>
      </c>
      <c r="C110" s="4" t="b">
        <v>0</v>
      </c>
      <c r="D110" s="4" t="b">
        <v>1</v>
      </c>
      <c r="E110" s="3"/>
      <c r="F110" s="1" t="b">
        <f>IF(C110=FALSE,FALSE,TRUE)</f>
        <v>0</v>
      </c>
    </row>
    <row r="111" spans="1:6">
      <c r="A111" s="3" t="str">
        <f>VLOOKUP('Itinerários por transportadora '!A785,'Itinerários por transportadora '!A:A,1,0)</f>
        <v>JUNIOR TRANSPORTES</v>
      </c>
      <c r="B111" s="3" t="str">
        <f>LEFT(VLOOKUP(A111,'Itinerários por transportadora '!A:B,2,0),2)</f>
        <v>SP</v>
      </c>
      <c r="C111" s="4" t="b">
        <v>0</v>
      </c>
      <c r="D111" s="4" t="b">
        <v>1</v>
      </c>
      <c r="E111" s="3"/>
      <c r="F111" s="1" t="b">
        <f>IF(C111=FALSE,FALSE,TRUE)</f>
        <v>0</v>
      </c>
    </row>
    <row r="112" spans="1:6">
      <c r="A112" s="3" t="str">
        <f>VLOOKUP('Itinerários RJ por transportado'!A368,'Itinerários RJ por transportado'!A:A,1,0)</f>
        <v>JUNIOR TRANSPORTES</v>
      </c>
      <c r="B112" s="3" t="str">
        <f>LEFT(VLOOKUP(A112,Itinerários_RJ_por_transportadora_pdf[[Transportadora]:[Rota]],2,0),2)</f>
        <v>RJ</v>
      </c>
      <c r="C112" s="4" t="b">
        <v>0</v>
      </c>
      <c r="D112" s="4" t="b">
        <v>1</v>
      </c>
      <c r="E112" s="3"/>
      <c r="F112" s="1" t="b">
        <f>IF(C112=FALSE,FALSE,TRUE)</f>
        <v>0</v>
      </c>
    </row>
    <row r="113" spans="1:6">
      <c r="A113" s="3" t="str">
        <f>VLOOKUP('Itinerários ES por transportado'!A166,'Itinerários ES por transportado'!A:A,1,0)</f>
        <v>JUNIOR TRANSPORTES</v>
      </c>
      <c r="B113" s="3" t="str">
        <f>LEFT(VLOOKUP(A113,Itinerários_ES_por_transportadora_pdf[[Transportadora]:[Rota]],2,0),2)</f>
        <v>ES</v>
      </c>
      <c r="C113" s="4" t="b">
        <v>0</v>
      </c>
      <c r="D113" s="4" t="b">
        <v>1</v>
      </c>
      <c r="E113" s="3"/>
      <c r="F113" s="1" t="b">
        <f>IF(C113=FALSE,FALSE,TRUE)</f>
        <v>0</v>
      </c>
    </row>
    <row r="114" spans="1:6">
      <c r="A114" s="3" t="str">
        <f>VLOOKUP('Itinerários MG por transportado'!A624,'Itinerários MG por transportado'!A:A,1,0)</f>
        <v>JUNIOR TRANSPORTES</v>
      </c>
      <c r="B114" s="3" t="str">
        <f>LEFT(VLOOKUP(A114,'Itinerários MG por transportado'!A:B,2,0),2)</f>
        <v>MG</v>
      </c>
      <c r="C114" s="4" t="b">
        <v>0</v>
      </c>
      <c r="D114" s="4" t="b">
        <v>1</v>
      </c>
      <c r="E114" s="3"/>
      <c r="F114" s="1" t="b">
        <f>IF(C114=FALSE,FALSE,TRUE)</f>
        <v>0</v>
      </c>
    </row>
    <row r="115" spans="1:6">
      <c r="A115" s="3" t="str">
        <f>VLOOKUP('Itinerários RJ por transportado'!A545,'Itinerários RJ por transportado'!A:A,1,0)</f>
        <v>JVF TRANSPORTES LTDA</v>
      </c>
      <c r="B115" s="3" t="str">
        <f>LEFT(VLOOKUP(A115,Itinerários_RJ_por_transportadora_pdf[[Transportadora]:[Rota]],2,0),2)</f>
        <v>RJ</v>
      </c>
      <c r="C115" s="4" t="b">
        <v>0</v>
      </c>
      <c r="D115" s="4" t="b">
        <v>1</v>
      </c>
      <c r="E115" s="3"/>
      <c r="F115" s="1" t="b">
        <f>IF(C115=FALSE,FALSE,TRUE)</f>
        <v>0</v>
      </c>
    </row>
    <row r="116" spans="1:6">
      <c r="A116" s="3" t="str">
        <f>VLOOKUP('Itinerários ES por transportado'!A249,'Itinerários ES por transportado'!A:A,1,0)</f>
        <v>JVF TRANSPORTES LTDA</v>
      </c>
      <c r="B116" s="3" t="str">
        <f>LEFT(VLOOKUP(A116,Itinerários_ES_por_transportadora_pdf[[Transportadora]:[Rota]],2,0),2)</f>
        <v>ES</v>
      </c>
      <c r="C116" s="4" t="b">
        <v>0</v>
      </c>
      <c r="D116" s="4" t="b">
        <v>1</v>
      </c>
      <c r="E116" s="3"/>
      <c r="F116" s="1" t="b">
        <f>IF(C116=FALSE,FALSE,TRUE)</f>
        <v>0</v>
      </c>
    </row>
    <row r="117" spans="1:6">
      <c r="A117" s="3" t="str">
        <f>VLOOKUP('Itinerários MG por transportado'!A921,'Itinerários MG por transportado'!A:A,1,0)</f>
        <v>JVF TRANSPORTES LTDA</v>
      </c>
      <c r="B117" s="3" t="str">
        <f>LEFT(VLOOKUP(A117,'Itinerários MG por transportado'!A:B,2,0),2)</f>
        <v>MG</v>
      </c>
      <c r="C117" s="4" t="b">
        <v>0</v>
      </c>
      <c r="D117" s="4" t="b">
        <v>1</v>
      </c>
      <c r="E117" s="3"/>
      <c r="F117" s="1" t="b">
        <f>IF(C117=FALSE,FALSE,TRUE)</f>
        <v>0</v>
      </c>
    </row>
    <row r="118" spans="1:6">
      <c r="A118" s="3" t="str">
        <f>VLOOKUP('Itinerários por transportadora '!A437,'Itinerários por transportadora '!A:A,1,0)</f>
        <v>LH - TRANSPORTES RODOVIARIOS LTDA</v>
      </c>
      <c r="B118" s="3" t="str">
        <f>LEFT(VLOOKUP(A118,'Itinerários por transportadora '!A:B,2,0),2)</f>
        <v>SP</v>
      </c>
      <c r="C118" s="4" t="b">
        <v>0</v>
      </c>
      <c r="D118" s="4" t="b">
        <v>1</v>
      </c>
      <c r="E118" s="3"/>
      <c r="F118" s="1" t="b">
        <f>IF(C118=FALSE,FALSE,TRUE)</f>
        <v>0</v>
      </c>
    </row>
    <row r="119" spans="1:6">
      <c r="A119" s="3" t="str">
        <f>VLOOKUP('Itinerários RJ por transportado'!A185,'Itinerários RJ por transportado'!A:A,1,0)</f>
        <v>LH - TRANSPORTES RODOVIARIOS LTDA</v>
      </c>
      <c r="B119" s="3" t="str">
        <f>LEFT(VLOOKUP(A119,Itinerários_RJ_por_transportadora_pdf[[Transportadora]:[Rota]],2,0),2)</f>
        <v>RJ</v>
      </c>
      <c r="C119" s="4" t="b">
        <v>0</v>
      </c>
      <c r="D119" s="4" t="b">
        <v>1</v>
      </c>
      <c r="E119" s="3"/>
      <c r="F119" s="1" t="b">
        <f>IF(C119=FALSE,FALSE,TRUE)</f>
        <v>0</v>
      </c>
    </row>
    <row r="120" spans="1:6">
      <c r="A120" s="3" t="str">
        <f>VLOOKUP('Itinerários ES por transportado'!A83,'Itinerários ES por transportado'!A:A,1,0)</f>
        <v>LH - TRANSPORTES RODOVIARIOS LTDA</v>
      </c>
      <c r="B120" s="3" t="str">
        <f>LEFT(VLOOKUP(A120,Itinerários_ES_por_transportadora_pdf[[Transportadora]:[Rota]],2,0),2)</f>
        <v>ES</v>
      </c>
      <c r="C120" s="4" t="b">
        <v>0</v>
      </c>
      <c r="D120" s="4" t="b">
        <v>1</v>
      </c>
      <c r="E120" s="3"/>
      <c r="F120" s="1" t="b">
        <f>IF(C120=FALSE,FALSE,TRUE)</f>
        <v>0</v>
      </c>
    </row>
    <row r="121" spans="1:6">
      <c r="A121" s="3" t="str">
        <f>VLOOKUP('Itinerários MG por transportado'!A307,'Itinerários MG por transportado'!A:A,1,0)</f>
        <v>LH - TRANSPORTES RODOVIARIOS LTDA</v>
      </c>
      <c r="B121" s="3" t="str">
        <f>LEFT(VLOOKUP(A121,'Itinerários MG por transportado'!A:B,2,0),2)</f>
        <v>MG</v>
      </c>
      <c r="C121" s="4" t="b">
        <v>0</v>
      </c>
      <c r="D121" s="4" t="b">
        <v>1</v>
      </c>
      <c r="E121" s="3"/>
      <c r="F121" s="1" t="b">
        <f>IF(C121=FALSE,FALSE,TRUE)</f>
        <v>0</v>
      </c>
    </row>
    <row r="122" spans="1:6">
      <c r="A122" s="3" t="str">
        <f>VLOOKUP('Itinerários por transportadora '!A118,'Itinerários por transportadora '!A:A,1,0)</f>
        <v>LIRAN TRANSPORTES E LOGISTICA LTDA</v>
      </c>
      <c r="B122" s="3" t="str">
        <f>LEFT(VLOOKUP(A122,'Itinerários por transportadora '!A:B,2,0),2)</f>
        <v>SP</v>
      </c>
      <c r="C122" s="4" t="b">
        <v>0</v>
      </c>
      <c r="D122" s="4" t="b">
        <v>1</v>
      </c>
      <c r="E122" s="3"/>
      <c r="F122" s="1" t="b">
        <f>IF(C122=FALSE,FALSE,TRUE)</f>
        <v>0</v>
      </c>
    </row>
    <row r="123" spans="1:6">
      <c r="A123" s="3" t="str">
        <f>VLOOKUP('Itinerários por transportadora '!A825,'Itinerários por transportadora '!A:A,1,0)</f>
        <v>LOGMAXI MOVIMENTACAO E LOGISTICA LTDA</v>
      </c>
      <c r="B123" s="3" t="str">
        <f>LEFT(VLOOKUP(A123,'Itinerários por transportadora '!A:B,2,0),2)</f>
        <v>SP</v>
      </c>
      <c r="C123" s="4" t="b">
        <v>0</v>
      </c>
      <c r="D123" s="4" t="b">
        <v>1</v>
      </c>
      <c r="E123" s="3"/>
      <c r="F123" s="1" t="b">
        <f>IF(C123=FALSE,FALSE,TRUE)</f>
        <v>0</v>
      </c>
    </row>
    <row r="124" spans="1:6">
      <c r="A124" s="3" t="str">
        <f>VLOOKUP('Itinerários por transportadora '!A507,'Itinerários por transportadora '!A:A,1,0)</f>
        <v>LUCELIAS TRANSPORTES LTDA</v>
      </c>
      <c r="B124" s="3" t="str">
        <f>LEFT(VLOOKUP(A124,'Itinerários por transportadora '!A:B,2,0),2)</f>
        <v>SP</v>
      </c>
      <c r="C124" s="4" t="b">
        <v>0</v>
      </c>
      <c r="D124" s="4" t="b">
        <v>1</v>
      </c>
      <c r="E124" s="3"/>
      <c r="F124" s="1" t="b">
        <f>IF(C124=FALSE,FALSE,TRUE)</f>
        <v>0</v>
      </c>
    </row>
    <row r="125" spans="1:6">
      <c r="A125" s="3" t="str">
        <f>VLOOKUP('Itinerários RJ por transportado'!A218,'Itinerários RJ por transportado'!A:A,1,0)</f>
        <v>LUCELIAS TRANSPORTES LTDA</v>
      </c>
      <c r="B125" s="3" t="str">
        <f>LEFT(VLOOKUP(A125,Itinerários_RJ_por_transportadora_pdf[[Transportadora]:[Rota]],2,0),2)</f>
        <v>RJ</v>
      </c>
      <c r="C125" s="4" t="b">
        <v>0</v>
      </c>
      <c r="D125" s="4" t="b">
        <v>1</v>
      </c>
      <c r="E125" s="3"/>
      <c r="F125" s="1" t="b">
        <f>IF(C125=FALSE,FALSE,TRUE)</f>
        <v>0</v>
      </c>
    </row>
    <row r="126" spans="1:6">
      <c r="A126" s="3" t="str">
        <f>VLOOKUP('Itinerários ES por transportado'!A97,'Itinerários ES por transportado'!A:A,1,0)</f>
        <v>LUCELIAS TRANSPORTES LTDA</v>
      </c>
      <c r="B126" s="3" t="str">
        <f>LEFT(VLOOKUP(A126,Itinerários_ES_por_transportadora_pdf[[Transportadora]:[Rota]],2,0),2)</f>
        <v>ES</v>
      </c>
      <c r="C126" s="4" t="b">
        <v>0</v>
      </c>
      <c r="D126" s="4" t="b">
        <v>1</v>
      </c>
      <c r="E126" s="3"/>
      <c r="F126" s="1" t="b">
        <f>IF(C126=FALSE,FALSE,TRUE)</f>
        <v>0</v>
      </c>
    </row>
    <row r="127" spans="1:6">
      <c r="A127" s="3" t="str">
        <f>VLOOKUP('Itinerários MG por transportado'!A365,'Itinerários MG por transportado'!A:A,1,0)</f>
        <v>LUCELIAS TRANSPORTES LTDA</v>
      </c>
      <c r="B127" s="3" t="str">
        <f>LEFT(VLOOKUP(A127,'Itinerários MG por transportado'!A:B,2,0),2)</f>
        <v>MG</v>
      </c>
      <c r="C127" s="4" t="b">
        <v>0</v>
      </c>
      <c r="D127" s="4" t="b">
        <v>1</v>
      </c>
      <c r="E127" s="3"/>
      <c r="F127" s="1" t="b">
        <f>IF(C127=FALSE,FALSE,TRUE)</f>
        <v>0</v>
      </c>
    </row>
    <row r="128" spans="1:6">
      <c r="A128" s="3" t="str">
        <f>VLOOKUP('Itinerários por transportadora '!A93,'Itinerários por transportadora '!A:A,1,0)</f>
        <v>LUIZ PINHEIRO DA SILVA FILHO</v>
      </c>
      <c r="B128" s="3" t="str">
        <f>LEFT(VLOOKUP(A128,'Itinerários por transportadora '!A:B,2,0),2)</f>
        <v>SP</v>
      </c>
      <c r="C128" s="4" t="b">
        <v>0</v>
      </c>
      <c r="D128" s="4" t="b">
        <v>1</v>
      </c>
      <c r="E128" s="3"/>
      <c r="F128" s="1" t="b">
        <f>IF(C128=FALSE,FALSE,TRUE)</f>
        <v>0</v>
      </c>
    </row>
    <row r="129" spans="1:6">
      <c r="A129" s="3" t="str">
        <f>VLOOKUP('Itinerários por transportadora '!A842,'Itinerários por transportadora '!A:A,1,0)</f>
        <v>M.J. TRANSPORTES</v>
      </c>
      <c r="B129" s="3" t="str">
        <f>LEFT(VLOOKUP(A129,'Itinerários por transportadora '!A:B,2,0),2)</f>
        <v>SP</v>
      </c>
      <c r="C129" s="4" t="b">
        <v>0</v>
      </c>
      <c r="D129" s="4" t="b">
        <v>1</v>
      </c>
      <c r="E129" s="3"/>
      <c r="F129" s="1" t="b">
        <f>IF(C129=FALSE,FALSE,TRUE)</f>
        <v>0</v>
      </c>
    </row>
    <row r="130" spans="1:6">
      <c r="A130" s="3" t="str">
        <f>VLOOKUP('Itinerários RJ por transportado'!A404,'Itinerários RJ por transportado'!A:A,1,0)</f>
        <v>M.J. TRANSPORTES</v>
      </c>
      <c r="B130" s="3" t="str">
        <f>LEFT(VLOOKUP(A130,Itinerários_RJ_por_transportadora_pdf[[Transportadora]:[Rota]],2,0),2)</f>
        <v>RJ</v>
      </c>
      <c r="C130" s="4" t="b">
        <v>0</v>
      </c>
      <c r="D130" s="4" t="b">
        <v>1</v>
      </c>
      <c r="E130" s="3"/>
      <c r="F130" s="1" t="b">
        <f>IF(C130=FALSE,FALSE,TRUE)</f>
        <v>0</v>
      </c>
    </row>
    <row r="131" spans="1:6">
      <c r="A131" s="3" t="str">
        <f>VLOOKUP('Itinerários ES por transportado'!A183,'Itinerários ES por transportado'!A:A,1,0)</f>
        <v>M.J. TRANSPORTES</v>
      </c>
      <c r="B131" s="3" t="str">
        <f>LEFT(VLOOKUP(A131,Itinerários_ES_por_transportadora_pdf[[Transportadora]:[Rota]],2,0),2)</f>
        <v>ES</v>
      </c>
      <c r="C131" s="4" t="b">
        <v>0</v>
      </c>
      <c r="D131" s="4" t="b">
        <v>1</v>
      </c>
      <c r="E131" s="3"/>
      <c r="F131" s="1" t="b">
        <f>IF(C131=FALSE,FALSE,TRUE)</f>
        <v>0</v>
      </c>
    </row>
    <row r="132" spans="1:6">
      <c r="A132" s="3" t="str">
        <f>VLOOKUP('Itinerários MG por transportado'!A686,'Itinerários MG por transportado'!A:A,1,0)</f>
        <v>M.J. TRANSPORTES</v>
      </c>
      <c r="B132" s="3" t="str">
        <f>LEFT(VLOOKUP(A132,'Itinerários MG por transportado'!A:B,2,0),2)</f>
        <v>MG</v>
      </c>
      <c r="C132" s="4" t="b">
        <v>0</v>
      </c>
      <c r="D132" s="4" t="b">
        <v>1</v>
      </c>
      <c r="E132" s="3"/>
      <c r="F132" s="1" t="b">
        <f>IF(C132=FALSE,FALSE,TRUE)</f>
        <v>0</v>
      </c>
    </row>
    <row r="133" spans="1:6">
      <c r="A133" s="3" t="str">
        <f>VLOOKUP('Itinerários por transportadora '!A156,'Itinerários por transportadora '!A:A,1,0)</f>
        <v>MANOEL MESSIAS GOMES TRANSPORTES EPP</v>
      </c>
      <c r="B133" s="3" t="str">
        <f>LEFT(VLOOKUP(A133,'Itinerários por transportadora '!A:B,2,0),2)</f>
        <v>SP</v>
      </c>
      <c r="C133" s="4" t="b">
        <v>0</v>
      </c>
      <c r="D133" s="4" t="b">
        <v>1</v>
      </c>
      <c r="E133" s="3"/>
      <c r="F133" s="1" t="b">
        <f>IF(C133=FALSE,FALSE,TRUE)</f>
        <v>0</v>
      </c>
    </row>
    <row r="134" spans="1:6">
      <c r="A134" s="3" t="str">
        <f>VLOOKUP('Itinerários RJ por transportado'!A24,'Itinerários RJ por transportado'!A:A,1,0)</f>
        <v>MANOEL MESSIAS GOMES TRANSPORTES EPP</v>
      </c>
      <c r="B134" s="3" t="str">
        <f>LEFT(VLOOKUP(A134,Itinerários_RJ_por_transportadora_pdf[[Transportadora]:[Rota]],2,0),2)</f>
        <v>RJ</v>
      </c>
      <c r="C134" s="4" t="b">
        <v>0</v>
      </c>
      <c r="D134" s="4" t="b">
        <v>1</v>
      </c>
      <c r="E134" s="3"/>
      <c r="F134" s="1" t="b">
        <f>IF(C134=FALSE,FALSE,TRUE)</f>
        <v>0</v>
      </c>
    </row>
    <row r="135" spans="1:6">
      <c r="A135" s="3" t="str">
        <f>VLOOKUP('Itinerários ES por transportado'!A11,'Itinerários ES por transportado'!A:A,1,0)</f>
        <v>MANOEL MESSIAS GOMES TRANSPORTES EPP</v>
      </c>
      <c r="B135" s="3" t="str">
        <f>LEFT(VLOOKUP(A135,Itinerários_ES_por_transportadora_pdf[[Transportadora]:[Rota]],2,0),2)</f>
        <v>ES</v>
      </c>
      <c r="C135" s="4" t="b">
        <v>0</v>
      </c>
      <c r="D135" s="4" t="b">
        <v>1</v>
      </c>
      <c r="E135" s="3"/>
      <c r="F135" s="1" t="b">
        <f>IF(C135=FALSE,FALSE,TRUE)</f>
        <v>0</v>
      </c>
    </row>
    <row r="136" spans="1:6">
      <c r="A136" s="3" t="str">
        <f>VLOOKUP('Itinerários MG por transportado'!A36,'Itinerários MG por transportado'!A:A,1,0)</f>
        <v>MANOEL MESSIAS GOMES TRANSPORTES EPP</v>
      </c>
      <c r="B136" s="3" t="str">
        <f>LEFT(VLOOKUP(A136,'Itinerários MG por transportado'!A:B,2,0),2)</f>
        <v>MG</v>
      </c>
      <c r="C136" s="4" t="b">
        <v>0</v>
      </c>
      <c r="D136" s="4" t="b">
        <v>1</v>
      </c>
      <c r="E136" s="3"/>
      <c r="F136" s="1" t="b">
        <f>IF(C136=FALSE,FALSE,TRUE)</f>
        <v>0</v>
      </c>
    </row>
    <row r="137" spans="1:6">
      <c r="A137" s="3" t="str">
        <f>VLOOKUP('Itinerários por transportadora '!A335,'Itinerários por transportadora '!A:A,1,0)</f>
        <v>MANOEL PIRES FILHO TRANSPORTES - ME</v>
      </c>
      <c r="B137" s="3" t="str">
        <f>LEFT(VLOOKUP(A137,'Itinerários por transportadora '!A:B,2,0),2)</f>
        <v>SP</v>
      </c>
      <c r="C137" s="4" t="b">
        <v>0</v>
      </c>
      <c r="D137" s="4" t="b">
        <v>1</v>
      </c>
      <c r="E137" s="3"/>
      <c r="F137" s="1" t="b">
        <f>IF(C137=FALSE,FALSE,TRUE)</f>
        <v>0</v>
      </c>
    </row>
    <row r="138" spans="1:6">
      <c r="A138" s="3" t="str">
        <f>VLOOKUP('Itinerários RJ por transportado'!A132,'Itinerários RJ por transportado'!A:A,1,0)</f>
        <v>MANOEL PIRES FILHO TRANSPORTES - ME</v>
      </c>
      <c r="B138" s="3" t="str">
        <f>LEFT(VLOOKUP(A138,Itinerários_RJ_por_transportadora_pdf[[Transportadora]:[Rota]],2,0),2)</f>
        <v>RJ</v>
      </c>
      <c r="C138" s="4" t="b">
        <v>0</v>
      </c>
      <c r="D138" s="4" t="b">
        <v>1</v>
      </c>
      <c r="E138" s="3"/>
      <c r="F138" s="1" t="b">
        <f>IF(C138=FALSE,FALSE,TRUE)</f>
        <v>0</v>
      </c>
    </row>
    <row r="139" spans="1:6">
      <c r="A139" s="3" t="str">
        <f>VLOOKUP('Itinerários ES por transportado'!A61,'Itinerários ES por transportado'!A:A,1,0)</f>
        <v>MANOEL PIRES FILHO TRANSPORTES - ME</v>
      </c>
      <c r="B139" s="3" t="str">
        <f>LEFT(VLOOKUP(A139,Itinerários_ES_por_transportadora_pdf[[Transportadora]:[Rota]],2,0),2)</f>
        <v>ES</v>
      </c>
      <c r="C139" s="4" t="b">
        <v>0</v>
      </c>
      <c r="D139" s="4" t="b">
        <v>1</v>
      </c>
      <c r="E139" s="3"/>
      <c r="F139" s="1" t="b">
        <f>IF(C139=FALSE,FALSE,TRUE)</f>
        <v>0</v>
      </c>
    </row>
    <row r="140" spans="1:6">
      <c r="A140" s="3" t="str">
        <f>VLOOKUP('Itinerários MG por transportado'!A221,'Itinerários MG por transportado'!A:A,1,0)</f>
        <v>MANOEL PIRES FILHO TRANSPORTES - ME</v>
      </c>
      <c r="B140" s="3" t="str">
        <f>LEFT(VLOOKUP(A140,'Itinerários MG por transportado'!A:B,2,0),2)</f>
        <v>MG</v>
      </c>
      <c r="C140" s="4" t="b">
        <v>0</v>
      </c>
      <c r="D140" s="4" t="b">
        <v>1</v>
      </c>
      <c r="E140" s="3"/>
      <c r="F140" s="1" t="b">
        <f>IF(C140=FALSE,FALSE,TRUE)</f>
        <v>0</v>
      </c>
    </row>
    <row r="141" spans="1:6">
      <c r="A141" s="3" t="str">
        <f>VLOOKUP('Itinerários por transportadora '!A611,'Itinerários por transportadora '!A:A,1,0)</f>
        <v>MARCOS ANTONIO PEREIRA CASTRO -ME</v>
      </c>
      <c r="B141" s="3" t="str">
        <f>LEFT(VLOOKUP(A141,'Itinerários por transportadora '!A:B,2,0),2)</f>
        <v>SP</v>
      </c>
      <c r="C141" s="4" t="b">
        <v>0</v>
      </c>
      <c r="D141" s="4" t="b">
        <v>1</v>
      </c>
      <c r="E141" s="3"/>
      <c r="F141" s="1" t="b">
        <f>IF(C141=FALSE,FALSE,TRUE)</f>
        <v>0</v>
      </c>
    </row>
    <row r="142" spans="1:6">
      <c r="A142" s="3" t="str">
        <f>VLOOKUP('Itinerários RJ por transportado'!A268,'Itinerários RJ por transportado'!A:A,1,0)</f>
        <v>MARCOS ANTONIO PEREIRA CASTRO -ME</v>
      </c>
      <c r="B142" s="3" t="str">
        <f>LEFT(VLOOKUP(A142,Itinerários_RJ_por_transportadora_pdf[[Transportadora]:[Rota]],2,0),2)</f>
        <v>RJ</v>
      </c>
      <c r="C142" s="4" t="b">
        <v>0</v>
      </c>
      <c r="D142" s="4" t="b">
        <v>1</v>
      </c>
      <c r="E142" s="3"/>
      <c r="F142" s="1" t="b">
        <f>IF(C142=FALSE,FALSE,TRUE)</f>
        <v>0</v>
      </c>
    </row>
    <row r="143" spans="1:6">
      <c r="A143" s="3" t="str">
        <f>VLOOKUP('Itinerários ES por transportado'!A126,'Itinerários ES por transportado'!A:A,1,0)</f>
        <v>MARCOS ANTONIO PEREIRA CASTRO -ME</v>
      </c>
      <c r="B143" s="3" t="str">
        <f>LEFT(VLOOKUP(A143,Itinerários_ES_por_transportadora_pdf[[Transportadora]:[Rota]],2,0),2)</f>
        <v>ES</v>
      </c>
      <c r="C143" s="4" t="b">
        <v>0</v>
      </c>
      <c r="D143" s="4" t="b">
        <v>1</v>
      </c>
      <c r="E143" s="3"/>
      <c r="F143" s="1" t="b">
        <f>IF(C143=FALSE,FALSE,TRUE)</f>
        <v>0</v>
      </c>
    </row>
    <row r="144" spans="1:6">
      <c r="A144" s="3" t="str">
        <f>VLOOKUP('Itinerários MG por transportado'!A451,'Itinerários MG por transportado'!A:A,1,0)</f>
        <v>MARCOS ANTONIO PEREIRA CASTRO -ME</v>
      </c>
      <c r="B144" s="3" t="str">
        <f>LEFT(VLOOKUP(A144,'Itinerários MG por transportado'!A:B,2,0),2)</f>
        <v>MG</v>
      </c>
      <c r="C144" s="4" t="b">
        <v>0</v>
      </c>
      <c r="D144" s="4" t="b">
        <v>1</v>
      </c>
      <c r="E144" s="3"/>
      <c r="F144" s="1" t="b">
        <f>IF(C144=FALSE,FALSE,TRUE)</f>
        <v>0</v>
      </c>
    </row>
    <row r="145" spans="1:6">
      <c r="A145" s="3" t="str">
        <f>VLOOKUP('Itinerários RJ por transportado'!A59,'Itinerários RJ por transportado'!A:A,1,0)</f>
        <v>MARLOG BRASIL LOGISTICAE ARMAZENAGEM LTDA.</v>
      </c>
      <c r="B145" s="3" t="str">
        <f>LEFT(VLOOKUP(A145,Itinerários_RJ_por_transportadora_pdf[[Transportadora]:[Rota]],2,0),2)</f>
        <v>RJ</v>
      </c>
      <c r="C145" s="4" t="b">
        <v>0</v>
      </c>
      <c r="D145" s="4" t="b">
        <v>1</v>
      </c>
      <c r="E145" s="3"/>
      <c r="F145" s="1" t="b">
        <f>IF(C145=FALSE,FALSE,TRUE)</f>
        <v>0</v>
      </c>
    </row>
    <row r="146" spans="1:6">
      <c r="A146" s="3" t="str">
        <f>VLOOKUP('Itinerários por transportadora '!A665,'Itinerários por transportadora '!A:A,1,0)</f>
        <v>MAYRON ANTONIO ROSARIO 32944558870</v>
      </c>
      <c r="B146" s="3" t="str">
        <f>LEFT(VLOOKUP(A146,'Itinerários por transportadora '!A:B,2,0),2)</f>
        <v>SP</v>
      </c>
      <c r="C146" s="4" t="b">
        <v>0</v>
      </c>
      <c r="D146" s="4" t="b">
        <v>1</v>
      </c>
      <c r="E146" s="3"/>
      <c r="F146" s="1" t="b">
        <f>IF(C146=FALSE,FALSE,TRUE)</f>
        <v>0</v>
      </c>
    </row>
    <row r="147" spans="1:6">
      <c r="A147" s="3" t="str">
        <f>VLOOKUP('Itinerários RJ por transportado'!A308,'Itinerários RJ por transportado'!A:A,1,0)</f>
        <v>MAYRON ANTONIO ROSARIO 32944558870</v>
      </c>
      <c r="B147" s="3" t="str">
        <f>LEFT(VLOOKUP(A147,Itinerários_RJ_por_transportadora_pdf[[Transportadora]:[Rota]],2,0),2)</f>
        <v>RJ</v>
      </c>
      <c r="C147" s="4" t="b">
        <v>0</v>
      </c>
      <c r="D147" s="4" t="b">
        <v>1</v>
      </c>
      <c r="E147" s="3"/>
      <c r="F147" s="1" t="b">
        <f>IF(C147=FALSE,FALSE,TRUE)</f>
        <v>0</v>
      </c>
    </row>
    <row r="148" spans="1:6">
      <c r="A148" s="3" t="str">
        <f>VLOOKUP('Itinerários ES por transportado'!A142,'Itinerários ES por transportado'!A:A,1,0)</f>
        <v>MAYRON ANTONIO ROSARIO 32944558870</v>
      </c>
      <c r="B148" s="3" t="str">
        <f>LEFT(VLOOKUP(A148,Itinerários_ES_por_transportadora_pdf[[Transportadora]:[Rota]],2,0),2)</f>
        <v>ES</v>
      </c>
      <c r="C148" s="4" t="b">
        <v>0</v>
      </c>
      <c r="D148" s="4" t="b">
        <v>1</v>
      </c>
      <c r="E148" s="3"/>
      <c r="F148" s="1" t="b">
        <f>IF(C148=FALSE,FALSE,TRUE)</f>
        <v>0</v>
      </c>
    </row>
    <row r="149" spans="1:6">
      <c r="A149" s="3" t="str">
        <f>VLOOKUP('Itinerários MG por transportado'!A519,'Itinerários MG por transportado'!A:A,1,0)</f>
        <v>MAYRON ANTONIO ROSARIO 32944558870</v>
      </c>
      <c r="B149" s="3" t="str">
        <f>LEFT(VLOOKUP(A149,'Itinerários MG por transportado'!A:B,2,0),2)</f>
        <v>MG</v>
      </c>
      <c r="C149" s="4" t="b">
        <v>0</v>
      </c>
      <c r="D149" s="4" t="b">
        <v>1</v>
      </c>
      <c r="E149" s="3"/>
      <c r="F149" s="1" t="b">
        <f>IF(C149=FALSE,FALSE,TRUE)</f>
        <v>0</v>
      </c>
    </row>
    <row r="150" spans="1:6">
      <c r="A150" s="3" t="str">
        <f>VLOOKUP('Itinerários por transportadora '!A398,'Itinerários por transportadora '!A:A,1,0)</f>
        <v>MILVINI TRANSPORTES MARILIA LTDA -</v>
      </c>
      <c r="B150" s="3" t="str">
        <f>LEFT(VLOOKUP(A150,'Itinerários por transportadora '!A:B,2,0),2)</f>
        <v>SP</v>
      </c>
      <c r="C150" s="4" t="b">
        <v>0</v>
      </c>
      <c r="D150" s="4" t="b">
        <v>1</v>
      </c>
      <c r="E150" s="3"/>
      <c r="F150" s="1" t="b">
        <f>IF(C150=FALSE,FALSE,TRUE)</f>
        <v>0</v>
      </c>
    </row>
    <row r="151" spans="1:6">
      <c r="A151" s="3" t="str">
        <f>VLOOKUP('Itinerários RJ por transportado'!A173,'Itinerários RJ por transportado'!A:A,1,0)</f>
        <v>MILVINI TRANSPORTES MARILIA LTDA -</v>
      </c>
      <c r="B151" s="3" t="str">
        <f>LEFT(VLOOKUP(A151,Itinerários_RJ_por_transportadora_pdf[[Transportadora]:[Rota]],2,0),2)</f>
        <v>RJ</v>
      </c>
      <c r="C151" s="4" t="b">
        <v>0</v>
      </c>
      <c r="D151" s="4" t="b">
        <v>1</v>
      </c>
      <c r="E151" s="3"/>
      <c r="F151" s="1" t="b">
        <f>IF(C151=FALSE,FALSE,TRUE)</f>
        <v>0</v>
      </c>
    </row>
    <row r="152" spans="1:6">
      <c r="A152" s="3" t="str">
        <f>VLOOKUP('Itinerários ES por transportado'!A79,'Itinerários ES por transportado'!A:A,1,0)</f>
        <v>MILVINI TRANSPORTES MARILIA LTDA -</v>
      </c>
      <c r="B152" s="3" t="str">
        <f>LEFT(VLOOKUP(A152,Itinerários_ES_por_transportadora_pdf[[Transportadora]:[Rota]],2,0),2)</f>
        <v>ES</v>
      </c>
      <c r="C152" s="4" t="b">
        <v>0</v>
      </c>
      <c r="D152" s="4" t="b">
        <v>1</v>
      </c>
      <c r="E152" s="3"/>
      <c r="F152" s="1" t="b">
        <f>IF(C152=FALSE,FALSE,TRUE)</f>
        <v>0</v>
      </c>
    </row>
    <row r="153" spans="1:6">
      <c r="A153" s="3" t="str">
        <f>VLOOKUP('Itinerários MG por transportado'!A289,'Itinerários MG por transportado'!A:A,1,0)</f>
        <v>MILVINI TRANSPORTES MARILIA LTDA -</v>
      </c>
      <c r="B153" s="3" t="str">
        <f>LEFT(VLOOKUP(A153,'Itinerários MG por transportado'!A:B,2,0),2)</f>
        <v>MG</v>
      </c>
      <c r="C153" s="4" t="b">
        <v>0</v>
      </c>
      <c r="D153" s="4" t="b">
        <v>1</v>
      </c>
      <c r="E153" s="3"/>
      <c r="F153" s="1" t="b">
        <f>IF(C153=FALSE,FALSE,TRUE)</f>
        <v>0</v>
      </c>
    </row>
    <row r="154" spans="1:6">
      <c r="A154" s="3" t="str">
        <f>VLOOKUP('Itinerários MG por transportado'!A622,'Itinerários MG por transportado'!A:A,1,0)</f>
        <v>MODULO</v>
      </c>
      <c r="B154" s="3" t="str">
        <f>LEFT(VLOOKUP(A154,'Itinerários MG por transportado'!A:B,2,0),2)</f>
        <v>MG</v>
      </c>
      <c r="C154" s="4" t="b">
        <v>0</v>
      </c>
      <c r="D154" s="4" t="b">
        <v>1</v>
      </c>
      <c r="E154" s="3"/>
      <c r="F154" s="1" t="b">
        <f>IF(C154=FALSE,FALSE,TRUE)</f>
        <v>0</v>
      </c>
    </row>
    <row r="155" spans="1:6">
      <c r="A155" s="3" t="str">
        <f>VLOOKUP('Itinerários RJ por transportado'!A565,'Itinerários RJ por transportado'!A:A,1,0)</f>
        <v>NATHALIA MENDES DE FREITAS</v>
      </c>
      <c r="B155" s="3" t="str">
        <f>LEFT(VLOOKUP(A155,Itinerários_RJ_por_transportadora_pdf[[Transportadora]:[Rota]],2,0),2)</f>
        <v>RJ</v>
      </c>
      <c r="C155" s="4" t="b">
        <v>0</v>
      </c>
      <c r="D155" s="4" t="b">
        <v>1</v>
      </c>
      <c r="E155" s="3"/>
      <c r="F155" s="1" t="b">
        <f>IF(C155=FALSE,FALSE,TRUE)</f>
        <v>0</v>
      </c>
    </row>
    <row r="156" spans="1:6">
      <c r="A156" s="3" t="str">
        <f>VLOOKUP('Itinerários ES por transportado'!A257,'Itinerários ES por transportado'!A:A,1,0)</f>
        <v>NATHALIA MENDES DE FREITAS</v>
      </c>
      <c r="B156" s="3" t="str">
        <f>LEFT(VLOOKUP(A156,Itinerários_ES_por_transportadora_pdf[[Transportadora]:[Rota]],2,0),2)</f>
        <v>ES</v>
      </c>
      <c r="C156" s="4" t="b">
        <v>0</v>
      </c>
      <c r="D156" s="4" t="b">
        <v>1</v>
      </c>
      <c r="E156" s="3"/>
      <c r="F156" s="1" t="b">
        <f>IF(C156=FALSE,FALSE,TRUE)</f>
        <v>0</v>
      </c>
    </row>
    <row r="157" spans="1:6">
      <c r="A157" s="3" t="str">
        <f>VLOOKUP('Itinerários MG por transportado'!A955,'Itinerários MG por transportado'!A:A,1,0)</f>
        <v>NATHALIA MENDES DE FREITAS</v>
      </c>
      <c r="B157" s="3" t="str">
        <f>LEFT(VLOOKUP(A157,'Itinerários MG por transportado'!A:B,2,0),2)</f>
        <v>MG</v>
      </c>
      <c r="C157" s="4" t="b">
        <v>0</v>
      </c>
      <c r="D157" s="4" t="b">
        <v>1</v>
      </c>
      <c r="E157" s="3"/>
      <c r="F157" s="1" t="b">
        <f>IF(C157=FALSE,FALSE,TRUE)</f>
        <v>0</v>
      </c>
    </row>
    <row r="158" spans="1:6">
      <c r="A158" s="3" t="str">
        <f>VLOOKUP('Itinerários por transportadora '!A998,'Itinerários por transportadora '!A:A,1,0)</f>
        <v>ODECIO SALIDO FILHO 17406079885</v>
      </c>
      <c r="B158" s="3" t="str">
        <f>LEFT(VLOOKUP(A158,'Itinerários por transportadora '!A:B,2,0),2)</f>
        <v>SP</v>
      </c>
      <c r="C158" s="4" t="b">
        <v>0</v>
      </c>
      <c r="D158" s="4" t="b">
        <v>1</v>
      </c>
      <c r="E158" s="3"/>
      <c r="F158" s="1" t="b">
        <f>IF(C158=FALSE,FALSE,TRUE)</f>
        <v>0</v>
      </c>
    </row>
    <row r="159" spans="1:6">
      <c r="A159" s="3" t="str">
        <f>VLOOKUP('Itinerários RJ por transportado'!A468,'Itinerários RJ por transportado'!A:A,1,0)</f>
        <v>ODECIO SALIDO FILHO 17406079885</v>
      </c>
      <c r="B159" s="3" t="str">
        <f>LEFT(VLOOKUP(A159,Itinerários_RJ_por_transportadora_pdf[[Transportadora]:[Rota]],2,0),2)</f>
        <v>RJ</v>
      </c>
      <c r="C159" s="4" t="b">
        <v>0</v>
      </c>
      <c r="D159" s="4" t="b">
        <v>1</v>
      </c>
      <c r="E159" s="3"/>
      <c r="F159" s="1" t="b">
        <f>IF(C159=FALSE,FALSE,TRUE)</f>
        <v>0</v>
      </c>
    </row>
    <row r="160" spans="1:6">
      <c r="A160" s="3" t="str">
        <f>VLOOKUP('Itinerários ES por transportado'!A215,'Itinerários ES por transportado'!A:A,1,0)</f>
        <v>ODECIO SALIDO FILHO 17406079885</v>
      </c>
      <c r="B160" s="3" t="str">
        <f>LEFT(VLOOKUP(A160,Itinerários_ES_por_transportadora_pdf[[Transportadora]:[Rota]],2,0),2)</f>
        <v>ES</v>
      </c>
      <c r="C160" s="4" t="b">
        <v>0</v>
      </c>
      <c r="D160" s="4" t="b">
        <v>1</v>
      </c>
      <c r="E160" s="3"/>
      <c r="F160" s="1" t="b">
        <f>IF(C160=FALSE,FALSE,TRUE)</f>
        <v>0</v>
      </c>
    </row>
    <row r="161" spans="1:6">
      <c r="A161" s="3" t="str">
        <f>VLOOKUP('Itinerários MG por transportado'!A792,'Itinerários MG por transportado'!A:A,1,0)</f>
        <v>ODECIO SALIDO FILHO 17406079885</v>
      </c>
      <c r="B161" s="3" t="str">
        <f>LEFT(VLOOKUP(A161,'Itinerários MG por transportado'!A:B,2,0),2)</f>
        <v>MG</v>
      </c>
      <c r="C161" s="4" t="b">
        <v>0</v>
      </c>
      <c r="D161" s="4" t="b">
        <v>1</v>
      </c>
      <c r="E161" s="3"/>
      <c r="F161" s="1" t="b">
        <f>IF(C161=FALSE,FALSE,TRUE)</f>
        <v>0</v>
      </c>
    </row>
    <row r="162" spans="1:6">
      <c r="A162" s="3" t="str">
        <f>VLOOKUP('Itinerários por transportadora '!A311,'Itinerários por transportadora '!A:A,1,0)</f>
        <v>OSVALDO PUPIM TRANSPORTES ME</v>
      </c>
      <c r="B162" s="3" t="str">
        <f>LEFT(VLOOKUP(A162,'Itinerários por transportadora '!A:B,2,0),2)</f>
        <v>SP</v>
      </c>
      <c r="C162" s="4" t="b">
        <v>0</v>
      </c>
      <c r="D162" s="4" t="b">
        <v>1</v>
      </c>
      <c r="E162" s="3"/>
      <c r="F162" s="1" t="b">
        <f>IF(C162=FALSE,FALSE,TRUE)</f>
        <v>0</v>
      </c>
    </row>
    <row r="163" spans="1:6">
      <c r="A163" s="3" t="str">
        <f>VLOOKUP('Itinerários RJ por transportado'!A112,'Itinerários RJ por transportado'!A:A,1,0)</f>
        <v>OSVALDO PUPIM TRANSPORTES ME</v>
      </c>
      <c r="B163" s="3" t="str">
        <f>LEFT(VLOOKUP(A163,Itinerários_RJ_por_transportadora_pdf[[Transportadora]:[Rota]],2,0),2)</f>
        <v>RJ</v>
      </c>
      <c r="C163" s="4" t="b">
        <v>0</v>
      </c>
      <c r="D163" s="4" t="b">
        <v>1</v>
      </c>
      <c r="E163" s="3"/>
      <c r="F163" s="1" t="b">
        <f>IF(C163=FALSE,FALSE,TRUE)</f>
        <v>0</v>
      </c>
    </row>
    <row r="164" spans="1:6">
      <c r="A164" s="3" t="str">
        <f>VLOOKUP('Itinerários ES por transportado'!A52,'Itinerários ES por transportado'!A:A,1,0)</f>
        <v>OSVALDO PUPIM TRANSPORTES ME</v>
      </c>
      <c r="B164" s="3" t="str">
        <f>LEFT(VLOOKUP(A164,Itinerários_ES_por_transportadora_pdf[[Transportadora]:[Rota]],2,0),2)</f>
        <v>ES</v>
      </c>
      <c r="C164" s="4" t="b">
        <v>0</v>
      </c>
      <c r="D164" s="4" t="b">
        <v>1</v>
      </c>
      <c r="E164" s="3"/>
      <c r="F164" s="1" t="b">
        <f>IF(C164=FALSE,FALSE,TRUE)</f>
        <v>0</v>
      </c>
    </row>
    <row r="165" spans="1:6">
      <c r="A165" s="3" t="str">
        <f>VLOOKUP('Itinerários MG por transportado'!A186,'Itinerários MG por transportado'!A:A,1,0)</f>
        <v>OSVALDO PUPIM TRANSPORTES ME</v>
      </c>
      <c r="B165" s="3" t="str">
        <f>LEFT(VLOOKUP(A165,'Itinerários MG por transportado'!A:B,2,0),2)</f>
        <v>MG</v>
      </c>
      <c r="C165" s="4" t="b">
        <v>0</v>
      </c>
      <c r="D165" s="4" t="b">
        <v>1</v>
      </c>
      <c r="E165" s="3"/>
      <c r="F165" s="1" t="b">
        <f>IF(C165=FALSE,FALSE,TRUE)</f>
        <v>0</v>
      </c>
    </row>
    <row r="166" spans="1:6">
      <c r="A166" s="3" t="str">
        <f>VLOOKUP('Itinerários por transportadora '!A622,'Itinerários por transportadora '!A:A,1,0)</f>
        <v>RAQUEL FERREIRA DA SILVA MULATO ME</v>
      </c>
      <c r="B166" s="3" t="str">
        <f>LEFT(VLOOKUP(A166,'Itinerários por transportadora '!A:B,2,0),2)</f>
        <v>SP</v>
      </c>
      <c r="C166" s="4" t="b">
        <v>0</v>
      </c>
      <c r="D166" s="4" t="b">
        <v>1</v>
      </c>
      <c r="E166" s="3"/>
      <c r="F166" s="1" t="b">
        <f>IF(C166=FALSE,FALSE,TRUE)</f>
        <v>0</v>
      </c>
    </row>
    <row r="167" spans="1:6">
      <c r="A167" s="3" t="str">
        <f>VLOOKUP('Itinerários RJ por transportado'!A278,'Itinerários RJ por transportado'!A:A,1,0)</f>
        <v>RAQUEL FERREIRA DA SILVA MULATO ME</v>
      </c>
      <c r="B167" s="3" t="str">
        <f>LEFT(VLOOKUP(A167,Itinerários_RJ_por_transportadora_pdf[[Transportadora]:[Rota]],2,0),2)</f>
        <v>RJ</v>
      </c>
      <c r="C167" s="4" t="b">
        <v>0</v>
      </c>
      <c r="D167" s="4" t="b">
        <v>1</v>
      </c>
      <c r="E167" s="3"/>
      <c r="F167" s="1" t="b">
        <f>IF(C167=FALSE,FALSE,TRUE)</f>
        <v>0</v>
      </c>
    </row>
    <row r="168" spans="1:6">
      <c r="A168" s="3" t="str">
        <f>VLOOKUP('Itinerários ES por transportado'!A130,'Itinerários ES por transportado'!A:A,1,0)</f>
        <v>RAQUEL FERREIRA DA SILVA MULATO ME</v>
      </c>
      <c r="B168" s="3" t="str">
        <f>LEFT(VLOOKUP(A168,Itinerários_ES_por_transportadora_pdf[[Transportadora]:[Rota]],2,0),2)</f>
        <v>ES</v>
      </c>
      <c r="C168" s="4" t="b">
        <v>0</v>
      </c>
      <c r="D168" s="4" t="b">
        <v>1</v>
      </c>
      <c r="E168" s="3"/>
      <c r="F168" s="1" t="b">
        <f>IF(C168=FALSE,FALSE,TRUE)</f>
        <v>0</v>
      </c>
    </row>
    <row r="169" spans="1:6">
      <c r="A169" s="3" t="str">
        <f>VLOOKUP('Itinerários MG por transportado'!A468,'Itinerários MG por transportado'!A:A,1,0)</f>
        <v>RAQUEL FERREIRA DA SILVA MULATO ME</v>
      </c>
      <c r="B169" s="3" t="str">
        <f>LEFT(VLOOKUP(A169,'Itinerários MG por transportado'!A:B,2,0),2)</f>
        <v>MG</v>
      </c>
      <c r="C169" s="4" t="b">
        <v>0</v>
      </c>
      <c r="D169" s="4" t="b">
        <v>1</v>
      </c>
      <c r="E169" s="3"/>
      <c r="F169" s="1" t="b">
        <f>IF(C169=FALSE,FALSE,TRUE)</f>
        <v>0</v>
      </c>
    </row>
    <row r="170" spans="1:6">
      <c r="A170" s="3" t="str">
        <f>VLOOKUP('Itinerários RJ por transportado'!A498,'Itinerários RJ por transportado'!A:A,1,0)</f>
        <v>RICHARDS ISSA 06797187885</v>
      </c>
      <c r="B170" s="3" t="str">
        <f>LEFT(VLOOKUP(A170,Itinerários_RJ_por_transportadora_pdf[[Transportadora]:[Rota]],2,0),2)</f>
        <v>RJ</v>
      </c>
      <c r="C170" s="4" t="b">
        <v>0</v>
      </c>
      <c r="D170" s="4" t="b">
        <v>1</v>
      </c>
      <c r="E170" s="3"/>
      <c r="F170" s="1" t="b">
        <f>IF(C170=FALSE,FALSE,TRUE)</f>
        <v>0</v>
      </c>
    </row>
    <row r="171" spans="1:6">
      <c r="A171" s="3" t="str">
        <f>VLOOKUP('Itinerários RJ por transportado'!A398,'Itinerários RJ por transportado'!A:A,1,0)</f>
        <v>RODOCON TRANSPORTES</v>
      </c>
      <c r="B171" s="3" t="str">
        <f>LEFT(VLOOKUP(A171,Itinerários_RJ_por_transportadora_pdf[[Transportadora]:[Rota]],2,0),2)</f>
        <v>RJ</v>
      </c>
      <c r="C171" s="4" t="b">
        <v>0</v>
      </c>
      <c r="D171" s="4" t="b">
        <v>1</v>
      </c>
      <c r="E171" s="3"/>
      <c r="F171" s="1" t="b">
        <f>IF(C171=FALSE,FALSE,TRUE)</f>
        <v>0</v>
      </c>
    </row>
    <row r="172" spans="1:6">
      <c r="A172" s="3" t="str">
        <f>VLOOKUP('Itinerários ES por transportado'!A178,'Itinerários ES por transportado'!A:A,1,0)</f>
        <v>RODOCON TRANSPORTES</v>
      </c>
      <c r="B172" s="3" t="str">
        <f>LEFT(VLOOKUP(A172,Itinerários_ES_por_transportadora_pdf[[Transportadora]:[Rota]],2,0),2)</f>
        <v>ES</v>
      </c>
      <c r="C172" s="4" t="b">
        <v>0</v>
      </c>
      <c r="D172" s="4" t="b">
        <v>1</v>
      </c>
      <c r="E172" s="3"/>
      <c r="F172" s="1" t="b">
        <f>IF(C172=FALSE,FALSE,TRUE)</f>
        <v>0</v>
      </c>
    </row>
    <row r="173" spans="1:6">
      <c r="A173" s="3" t="str">
        <f>VLOOKUP('Itinerários MG por transportado'!A675,'Itinerários MG por transportado'!A:A,1,0)</f>
        <v>RODOCON TRANSPORTES</v>
      </c>
      <c r="B173" s="3" t="str">
        <f>LEFT(VLOOKUP(A173,'Itinerários MG por transportado'!A:B,2,0),2)</f>
        <v>MG</v>
      </c>
      <c r="C173" s="4" t="b">
        <v>0</v>
      </c>
      <c r="D173" s="4" t="b">
        <v>1</v>
      </c>
      <c r="E173" s="3"/>
      <c r="F173" s="1" t="b">
        <f>IF(C173=FALSE,FALSE,TRUE)</f>
        <v>0</v>
      </c>
    </row>
    <row r="174" spans="1:6">
      <c r="A174" s="3" t="str">
        <f>VLOOKUP('Itinerários RJ por transportado'!A596,'Itinerários RJ por transportado'!A:A,1,0)</f>
        <v>RODOJACTO</v>
      </c>
      <c r="B174" s="3" t="str">
        <f>LEFT(VLOOKUP(A174,Itinerários_RJ_por_transportadora_pdf[[Transportadora]:[Rota]],2,0),2)</f>
        <v>RJ</v>
      </c>
      <c r="C174" s="4" t="b">
        <v>0</v>
      </c>
      <c r="D174" s="4" t="b">
        <v>1</v>
      </c>
      <c r="E174" s="3"/>
      <c r="F174" s="1" t="b">
        <f>IF(C174=FALSE,FALSE,TRUE)</f>
        <v>0</v>
      </c>
    </row>
    <row r="175" spans="1:6">
      <c r="A175" s="3" t="str">
        <f>VLOOKUP('Itinerários por transportadora '!A2,'Itinerários por transportadora '!A:A,1,0)</f>
        <v>SER TRANSPORTES DE CARGAS</v>
      </c>
      <c r="B175" s="3" t="str">
        <f>LEFT(VLOOKUP(A175,'Itinerários por transportadora '!A:B,2,0),2)</f>
        <v>SP</v>
      </c>
      <c r="C175" s="4" t="b">
        <v>0</v>
      </c>
      <c r="D175" s="4" t="b">
        <v>1</v>
      </c>
      <c r="E175" s="3"/>
      <c r="F175" s="1" t="b">
        <f>IF(C175=FALSE,FALSE,TRUE)</f>
        <v>0</v>
      </c>
    </row>
    <row r="176" spans="1:6">
      <c r="A176" s="3" t="str">
        <f>VLOOKUP('Itinerários RJ por transportado'!A2,'Itinerários RJ por transportado'!A:A,1,0)</f>
        <v>SER TRANSPORTES DE CARGAS</v>
      </c>
      <c r="B176" s="3" t="str">
        <f>LEFT(VLOOKUP(A176,Itinerários_RJ_por_transportadora_pdf[[Transportadora]:[Rota]],2,0),2)</f>
        <v>RJ</v>
      </c>
      <c r="C176" s="4" t="b">
        <v>0</v>
      </c>
      <c r="D176" s="4" t="b">
        <v>1</v>
      </c>
      <c r="E176" s="3"/>
      <c r="F176" s="1" t="b">
        <f>IF(C176=FALSE,FALSE,TRUE)</f>
        <v>0</v>
      </c>
    </row>
    <row r="177" spans="1:6">
      <c r="A177" s="3" t="str">
        <f>VLOOKUP('Itinerários MG por transportado'!A2,'Itinerários MG por transportado'!A:A,1,0)</f>
        <v>SER TRANSPORTES DE CARGAS</v>
      </c>
      <c r="B177" s="3" t="str">
        <f>LEFT(VLOOKUP(A177,'Itinerários MG por transportado'!A:B,2,0),2)</f>
        <v>MG</v>
      </c>
      <c r="C177" s="4" t="b">
        <v>0</v>
      </c>
      <c r="D177" s="4" t="b">
        <v>1</v>
      </c>
      <c r="E177" s="3"/>
      <c r="F177" s="1" t="b">
        <f>IF(C177=FALSE,FALSE,TRUE)</f>
        <v>0</v>
      </c>
    </row>
    <row r="178" spans="1:6">
      <c r="A178" s="3" t="str">
        <f>VLOOKUP('Itinerários por transportadora '!A66,'Itinerários por transportadora '!A:A,1,0)</f>
        <v>SP MODAL TRANSPORTES LTDA</v>
      </c>
      <c r="B178" s="3" t="str">
        <f>LEFT(VLOOKUP(A178,'Itinerários por transportadora '!A:B,2,0),2)</f>
        <v>SP</v>
      </c>
      <c r="C178" s="4" t="b">
        <v>0</v>
      </c>
      <c r="D178" s="4" t="b">
        <v>1</v>
      </c>
      <c r="E178" s="3"/>
      <c r="F178" s="1" t="b">
        <f>IF(C178=FALSE,FALSE,TRUE)</f>
        <v>0</v>
      </c>
    </row>
    <row r="179" spans="1:6">
      <c r="A179" s="3" t="str">
        <f>VLOOKUP('Itinerários RJ por transportado'!A8,'Itinerários RJ por transportado'!A:A,1,0)</f>
        <v>SP MODAL TRANSPORTES LTDA</v>
      </c>
      <c r="B179" s="3" t="str">
        <f>LEFT(VLOOKUP(A179,Itinerários_RJ_por_transportadora_pdf[[Transportadora]:[Rota]],2,0),2)</f>
        <v>RJ</v>
      </c>
      <c r="C179" s="4" t="b">
        <v>0</v>
      </c>
      <c r="D179" s="4" t="b">
        <v>1</v>
      </c>
      <c r="E179" s="3"/>
      <c r="F179" s="1" t="b">
        <f>IF(C179=FALSE,FALSE,TRUE)</f>
        <v>0</v>
      </c>
    </row>
    <row r="180" spans="1:6">
      <c r="A180" s="3" t="str">
        <f>VLOOKUP('Itinerários ES por transportado'!A2,'Itinerários ES por transportado'!A:A,1,0)</f>
        <v>SP MODAL TRANSPORTES LTDA</v>
      </c>
      <c r="B180" s="3" t="str">
        <f>LEFT(VLOOKUP(A180,Itinerários_RJ_por_transportadora_pdf[[Transportadora]:[Rota]],2,0),2)</f>
        <v>RJ</v>
      </c>
      <c r="C180" s="4" t="b">
        <v>0</v>
      </c>
      <c r="D180" s="4" t="b">
        <v>1</v>
      </c>
      <c r="E180" s="3"/>
      <c r="F180" s="1" t="b">
        <f>IF(C180=FALSE,FALSE,TRUE)</f>
        <v>0</v>
      </c>
    </row>
    <row r="181" spans="1:6">
      <c r="A181" s="3" t="str">
        <f>VLOOKUP('Itinerários MG por transportado'!A8,'Itinerários MG por transportado'!A:A,1,0)</f>
        <v>SP MODAL TRANSPORTES LTDA</v>
      </c>
      <c r="B181" s="3" t="str">
        <f>LEFT(VLOOKUP(A181,'Itinerários MG por transportado'!A:B,2,0),2)</f>
        <v>MG</v>
      </c>
      <c r="C181" s="4" t="b">
        <v>0</v>
      </c>
      <c r="D181" s="4" t="b">
        <v>1</v>
      </c>
      <c r="E181" s="3"/>
      <c r="F181" s="1" t="b">
        <f>IF(C181=FALSE,FALSE,TRUE)</f>
        <v>0</v>
      </c>
    </row>
    <row r="182" spans="1:6">
      <c r="A182" s="3" t="str">
        <f>VLOOKUP('Itinerários por transportadora '!A769,'Itinerários por transportadora '!A:A,1,0)</f>
        <v>SS LOGISTICA</v>
      </c>
      <c r="B182" s="3" t="str">
        <f>LEFT(VLOOKUP(A182,'Itinerários por transportadora '!A:B,2,0),2)</f>
        <v>SP</v>
      </c>
      <c r="C182" s="4" t="b">
        <v>0</v>
      </c>
      <c r="D182" s="4" t="b">
        <v>1</v>
      </c>
      <c r="E182" s="3"/>
      <c r="F182" s="1" t="b">
        <f>IF(C182=FALSE,FALSE,TRUE)</f>
        <v>0</v>
      </c>
    </row>
    <row r="183" spans="1:6">
      <c r="A183" s="3" t="str">
        <f>VLOOKUP('Itinerários RJ por transportado'!A358,'Itinerários RJ por transportado'!A:A,1,0)</f>
        <v>SS LOGISTICA</v>
      </c>
      <c r="B183" s="3" t="str">
        <f>LEFT(VLOOKUP(A183,Itinerários_RJ_por_transportadora_pdf[[Transportadora]:[Rota]],2,0),2)</f>
        <v>RJ</v>
      </c>
      <c r="C183" s="4" t="b">
        <v>0</v>
      </c>
      <c r="D183" s="4" t="b">
        <v>1</v>
      </c>
      <c r="E183" s="3"/>
      <c r="F183" s="1" t="b">
        <f>IF(C183=FALSE,FALSE,TRUE)</f>
        <v>0</v>
      </c>
    </row>
    <row r="184" spans="1:6">
      <c r="A184" s="3" t="str">
        <f>VLOOKUP('Itinerários ES por transportado'!A162,'Itinerários ES por transportado'!A:A,1,0)</f>
        <v>SS LOGISTICA</v>
      </c>
      <c r="B184" s="3" t="str">
        <f>LEFT(VLOOKUP(A184,Itinerários_ES_por_transportadora_pdf[[Transportadora]:[Rota]],2,0),2)</f>
        <v>ES</v>
      </c>
      <c r="C184" s="4" t="b">
        <v>0</v>
      </c>
      <c r="D184" s="4" t="b">
        <v>1</v>
      </c>
      <c r="E184" s="3"/>
      <c r="F184" s="1" t="b">
        <f>IF(C184=FALSE,FALSE,TRUE)</f>
        <v>0</v>
      </c>
    </row>
    <row r="185" spans="1:6">
      <c r="A185" s="3" t="str">
        <f>VLOOKUP('Itinerários MG por transportado'!A605,'Itinerários MG por transportado'!A:A,1,0)</f>
        <v>SS LOGISTICA</v>
      </c>
      <c r="B185" s="3" t="str">
        <f>LEFT(VLOOKUP(A185,'Itinerários MG por transportado'!A:B,2,0),2)</f>
        <v>MG</v>
      </c>
      <c r="C185" s="4" t="b">
        <v>0</v>
      </c>
      <c r="D185" s="4" t="b">
        <v>1</v>
      </c>
      <c r="E185" s="3"/>
      <c r="F185" s="1" t="b">
        <f>IF(C185=FALSE,FALSE,TRUE)</f>
        <v>0</v>
      </c>
    </row>
    <row r="186" spans="1:6">
      <c r="A186" s="3" t="str">
        <f>VLOOKUP('Itinerários RJ por transportado'!A510,'Itinerários RJ por transportado'!A:A,1,0)</f>
        <v>SS LOGISTICA LTDA</v>
      </c>
      <c r="B186" s="3" t="str">
        <f>LEFT(VLOOKUP(A186,Itinerários_RJ_por_transportadora_pdf[[Transportadora]:[Rota]],2,0),2)</f>
        <v>RJ</v>
      </c>
      <c r="C186" s="4" t="b">
        <v>0</v>
      </c>
      <c r="D186" s="4" t="b">
        <v>1</v>
      </c>
      <c r="E186" s="3"/>
      <c r="F186" s="1" t="b">
        <f>IF(C186=FALSE,FALSE,TRUE)</f>
        <v>0</v>
      </c>
    </row>
    <row r="187" spans="1:6">
      <c r="A187" s="3" t="str">
        <f>VLOOKUP('Itinerários ES por transportado'!A231,'Itinerários ES por transportado'!A:A,1,0)</f>
        <v>SS LOGISTICA LTDA</v>
      </c>
      <c r="B187" s="3" t="str">
        <f>LEFT(VLOOKUP(A187,Itinerários_ES_por_transportadora_pdf[[Transportadora]:[Rota]],2,0),2)</f>
        <v>ES</v>
      </c>
      <c r="C187" s="4" t="b">
        <v>0</v>
      </c>
      <c r="D187" s="4" t="b">
        <v>1</v>
      </c>
      <c r="E187" s="3"/>
      <c r="F187" s="1" t="b">
        <f>IF(C187=FALSE,FALSE,TRUE)</f>
        <v>0</v>
      </c>
    </row>
    <row r="188" spans="1:6">
      <c r="A188" s="3" t="str">
        <f>VLOOKUP('Itinerários MG por transportado'!A861,'Itinerários MG por transportado'!A:A,1,0)</f>
        <v>SS LOGISTICA LTDA</v>
      </c>
      <c r="B188" s="3" t="str">
        <f>LEFT(VLOOKUP(A188,'Itinerários MG por transportado'!A:B,2,0),2)</f>
        <v>MG</v>
      </c>
      <c r="C188" s="4" t="b">
        <v>0</v>
      </c>
      <c r="D188" s="4" t="b">
        <v>1</v>
      </c>
      <c r="E188" s="3"/>
      <c r="F188" s="1" t="b">
        <f>IF(C188=FALSE,FALSE,TRUE)</f>
        <v>0</v>
      </c>
    </row>
    <row r="189" spans="1:6">
      <c r="A189" s="3" t="str">
        <f>VLOOKUP('Itinerários RJ por transportado'!A388,'Itinerários RJ por transportado'!A:A,1,0)</f>
        <v>TEREZINHA MUNIZ DA CUNHA DAS CHAGAS 04145032870</v>
      </c>
      <c r="B189" s="3" t="str">
        <f>LEFT(VLOOKUP(A189,Itinerários_RJ_por_transportadora_pdf[[Transportadora]:[Rota]],2,0),2)</f>
        <v>RJ</v>
      </c>
      <c r="C189" s="4" t="b">
        <v>0</v>
      </c>
      <c r="D189" s="4" t="b">
        <v>1</v>
      </c>
      <c r="E189" s="3"/>
      <c r="F189" s="1" t="b">
        <f>IF(C189=FALSE,FALSE,TRUE)</f>
        <v>0</v>
      </c>
    </row>
    <row r="190" spans="1:6">
      <c r="A190" s="3" t="str">
        <f>VLOOKUP('Itinerários MG por transportado'!A658,'Itinerários MG por transportado'!A:A,1,0)</f>
        <v>TEREZINHA MUNIZ DA CUNHA DAS CHAGAS 04145032870</v>
      </c>
      <c r="B190" s="3" t="str">
        <f>LEFT(VLOOKUP(A190,'Itinerários MG por transportado'!A:B,2,0),2)</f>
        <v>MG</v>
      </c>
      <c r="C190" s="4" t="b">
        <v>0</v>
      </c>
      <c r="D190" s="4" t="b">
        <v>1</v>
      </c>
      <c r="E190" s="3"/>
      <c r="F190" s="1" t="b">
        <f>IF(C190=FALSE,FALSE,TRUE)</f>
        <v>0</v>
      </c>
    </row>
    <row r="191" spans="1:6">
      <c r="A191" s="3" t="str">
        <f>VLOOKUP('Itinerários ES por transportado'!A174,'Itinerários ES por transportado'!A:A,1,0)</f>
        <v>TEREZINHA MUNIZ DA CUNHA DAS CHAGAS
04145032870</v>
      </c>
      <c r="B191" s="3" t="str">
        <f>LEFT(VLOOKUP(A191,Itinerários_ES_por_transportadora_pdf[[Transportadora]:[Rota]],2,0),2)</f>
        <v>ES</v>
      </c>
      <c r="C191" s="4" t="b">
        <v>0</v>
      </c>
      <c r="D191" s="4" t="b">
        <v>1</v>
      </c>
      <c r="E191" s="3"/>
      <c r="F191" s="1" t="b">
        <f>IF(C191=FALSE,FALSE,TRUE)</f>
        <v>0</v>
      </c>
    </row>
    <row r="192" spans="1:6">
      <c r="A192" s="3" t="str">
        <f>VLOOKUP('Itinerários por transportadora '!A861,'Itinerários por transportadora '!A:A,1,0)</f>
        <v>TM TRANSPORTADORA MULATO</v>
      </c>
      <c r="B192" s="3" t="str">
        <f>LEFT(VLOOKUP(A192,'Itinerários por transportadora '!A:B,2,0),2)</f>
        <v>SP</v>
      </c>
      <c r="C192" s="4" t="b">
        <v>0</v>
      </c>
      <c r="D192" s="4" t="b">
        <v>1</v>
      </c>
      <c r="E192" s="3"/>
      <c r="F192" s="1" t="b">
        <f>IF(C192=FALSE,FALSE,TRUE)</f>
        <v>0</v>
      </c>
    </row>
    <row r="193" spans="1:6">
      <c r="A193" s="3" t="str">
        <f>VLOOKUP('Itinerários RJ por transportado'!A416,'Itinerários RJ por transportado'!A:A,1,0)</f>
        <v>TM TRANSPORTADORA MULATO</v>
      </c>
      <c r="B193" s="3" t="str">
        <f>LEFT(VLOOKUP(A193,Itinerários_RJ_por_transportadora_pdf[[Transportadora]:[Rota]],2,0),2)</f>
        <v>RJ</v>
      </c>
      <c r="C193" s="4" t="b">
        <v>0</v>
      </c>
      <c r="D193" s="4" t="b">
        <v>1</v>
      </c>
      <c r="E193" s="3"/>
      <c r="F193" s="1" t="b">
        <f>IF(C193=FALSE,FALSE,TRUE)</f>
        <v>0</v>
      </c>
    </row>
    <row r="194" spans="1:6">
      <c r="A194" s="3" t="str">
        <f>VLOOKUP('Itinerários ES por transportado'!A187,'Itinerários ES por transportado'!A:A,1,0)</f>
        <v>TM TRANSPORTADORA MULATO</v>
      </c>
      <c r="B194" s="3" t="str">
        <f>LEFT(VLOOKUP(A194,Itinerários_ES_por_transportadora_pdf[[Transportadora]:[Rota]],2,0),2)</f>
        <v>ES</v>
      </c>
      <c r="C194" s="4" t="b">
        <v>0</v>
      </c>
      <c r="D194" s="4" t="b">
        <v>1</v>
      </c>
      <c r="E194" s="3"/>
      <c r="F194" s="1" t="b">
        <f>IF(C194=FALSE,FALSE,TRUE)</f>
        <v>0</v>
      </c>
    </row>
    <row r="195" spans="1:6">
      <c r="A195" s="3" t="str">
        <f>VLOOKUP('Itinerários MG por transportado'!A703,'Itinerários MG por transportado'!A:A,1,0)</f>
        <v>TM TRANSPORTADORA MULATO</v>
      </c>
      <c r="B195" s="3" t="str">
        <f>LEFT(VLOOKUP(A195,'Itinerários MG por transportado'!A:B,2,0),2)</f>
        <v>MG</v>
      </c>
      <c r="C195" s="4" t="b">
        <v>0</v>
      </c>
      <c r="D195" s="4" t="b">
        <v>1</v>
      </c>
      <c r="E195" s="3"/>
      <c r="F195" s="1" t="b">
        <f>IF(C195=FALSE,FALSE,TRUE)</f>
        <v>0</v>
      </c>
    </row>
    <row r="196" spans="1:6">
      <c r="A196" s="3" t="str">
        <f>VLOOKUP('Itinerários por transportadora '!A962,'Itinerários por transportadora '!A:A,1,0)</f>
        <v>TR FACCHINI TRANSPORTES LTDA</v>
      </c>
      <c r="B196" s="3" t="str">
        <f>LEFT(VLOOKUP(A196,'Itinerários por transportadora '!A:B,2,0),2)</f>
        <v>SP</v>
      </c>
      <c r="C196" s="4" t="b">
        <v>0</v>
      </c>
      <c r="D196" s="4" t="b">
        <v>1</v>
      </c>
      <c r="E196" s="3"/>
      <c r="F196" s="1" t="b">
        <f>IF(C196=FALSE,FALSE,TRUE)</f>
        <v>0</v>
      </c>
    </row>
    <row r="197" spans="1:6">
      <c r="A197" s="3" t="str">
        <f>VLOOKUP('Itinerários RJ por transportado'!A448,'Itinerários RJ por transportado'!A:A,1,0)</f>
        <v>TR FACCHINI TRANSPORTES LTDA</v>
      </c>
      <c r="B197" s="3" t="str">
        <f>LEFT(VLOOKUP(A197,Itinerários_RJ_por_transportadora_pdf[[Transportadora]:[Rota]],2,0),2)</f>
        <v>RJ</v>
      </c>
      <c r="C197" s="4" t="b">
        <v>0</v>
      </c>
      <c r="D197" s="4" t="b">
        <v>1</v>
      </c>
      <c r="E197" s="3"/>
      <c r="F197" s="1" t="b">
        <f>IF(C197=FALSE,FALSE,TRUE)</f>
        <v>0</v>
      </c>
    </row>
    <row r="198" spans="1:6">
      <c r="A198" s="3" t="str">
        <f>VLOOKUP('Itinerários ES por transportado'!A205,'Itinerários ES por transportado'!A:A,1,0)</f>
        <v>TR FACCHINI TRANSPORTES LTDA</v>
      </c>
      <c r="B198" s="3" t="str">
        <f>LEFT(VLOOKUP(A198,Itinerários_ES_por_transportadora_pdf[[Transportadora]:[Rota]],2,0),2)</f>
        <v>ES</v>
      </c>
      <c r="C198" s="4" t="b">
        <v>0</v>
      </c>
      <c r="D198" s="4" t="b">
        <v>1</v>
      </c>
      <c r="E198" s="3"/>
      <c r="F198" s="1" t="b">
        <f>IF(C198=FALSE,FALSE,TRUE)</f>
        <v>0</v>
      </c>
    </row>
    <row r="199" spans="1:6">
      <c r="A199" s="3" t="str">
        <f>VLOOKUP('Itinerários MG por transportado'!A758,'Itinerários MG por transportado'!A:A,1,0)</f>
        <v>TR FACCHINI TRANSPORTES LTDA</v>
      </c>
      <c r="B199" s="3" t="str">
        <f>LEFT(VLOOKUP(A199,'Itinerários MG por transportado'!A:B,2,0),2)</f>
        <v>MG</v>
      </c>
      <c r="C199" s="4" t="b">
        <v>0</v>
      </c>
      <c r="D199" s="4" t="b">
        <v>1</v>
      </c>
      <c r="E199" s="3"/>
      <c r="F199" s="1" t="b">
        <f>IF(C199=FALSE,FALSE,TRUE)</f>
        <v>0</v>
      </c>
    </row>
    <row r="200" spans="1:6">
      <c r="A200" s="3" t="str">
        <f>VLOOKUP('Itinerários por transportadora '!A266,'Itinerários por transportadora '!A:A,1,0)</f>
        <v>TRANSECCHI TRANSP. DE MARILIA LTDA</v>
      </c>
      <c r="B200" s="3" t="str">
        <f>LEFT(VLOOKUP(A200,'Itinerários por transportadora '!A:B,2,0),2)</f>
        <v>SP</v>
      </c>
      <c r="C200" s="4" t="b">
        <v>0</v>
      </c>
      <c r="D200" s="4" t="b">
        <v>1</v>
      </c>
      <c r="E200" s="3"/>
      <c r="F200" s="1" t="b">
        <f>IF(C200=FALSE,FALSE,TRUE)</f>
        <v>0</v>
      </c>
    </row>
    <row r="201" spans="1:6">
      <c r="A201" s="3" t="str">
        <f>VLOOKUP('Itinerários RJ por transportado'!A82,'Itinerários RJ por transportado'!A:A,1,0)</f>
        <v>TRANSECCHI TRANSP. DE MARILIA LTDA</v>
      </c>
      <c r="B201" s="3" t="str">
        <f>LEFT(VLOOKUP(A201,Itinerários_RJ_por_transportadora_pdf[[Transportadora]:[Rota]],2,0),2)</f>
        <v>RJ</v>
      </c>
      <c r="C201" s="4" t="b">
        <v>0</v>
      </c>
      <c r="D201" s="4" t="b">
        <v>1</v>
      </c>
      <c r="E201" s="3"/>
      <c r="F201" s="1" t="b">
        <f>IF(C201=FALSE,FALSE,TRUE)</f>
        <v>0</v>
      </c>
    </row>
    <row r="202" spans="1:6">
      <c r="A202" s="3" t="str">
        <f>VLOOKUP('Itinerários ES por transportado'!A38,'Itinerários ES por transportado'!A:A,1,0)</f>
        <v>TRANSECCHI TRANSP. DE MARILIA LTDA</v>
      </c>
      <c r="B202" s="3" t="str">
        <f>LEFT(VLOOKUP(A202,Itinerários_ES_por_transportadora_pdf[[Transportadora]:[Rota]],2,0),2)</f>
        <v>ES</v>
      </c>
      <c r="C202" s="4" t="b">
        <v>0</v>
      </c>
      <c r="D202" s="4" t="b">
        <v>1</v>
      </c>
      <c r="E202" s="3"/>
      <c r="F202" s="1" t="b">
        <f>IF(C202=FALSE,FALSE,TRUE)</f>
        <v>0</v>
      </c>
    </row>
    <row r="203" spans="1:6">
      <c r="A203" s="3" t="str">
        <f>VLOOKUP('Itinerários MG por transportado'!A135,'Itinerários MG por transportado'!A:A,1,0)</f>
        <v>TRANSECCHI TRANSP. DE MARILIA LTDA</v>
      </c>
      <c r="B203" s="3" t="str">
        <f>LEFT(VLOOKUP(A203,'Itinerários MG por transportado'!A:B,2,0),2)</f>
        <v>MG</v>
      </c>
      <c r="C203" s="4" t="b">
        <v>0</v>
      </c>
      <c r="D203" s="4" t="b">
        <v>1</v>
      </c>
      <c r="E203" s="3"/>
      <c r="F203" s="1" t="b">
        <f>IF(C203=FALSE,FALSE,TRUE)</f>
        <v>0</v>
      </c>
    </row>
    <row r="204" spans="1:6">
      <c r="A204" s="3" t="str">
        <f>VLOOKUP('Itinerários ES por transportado'!A191,'Itinerários ES por transportado'!A:A,1,0)</f>
        <v>TRANSFENIX LOGISTICA LTDA</v>
      </c>
      <c r="B204" s="3" t="str">
        <f>LEFT(VLOOKUP(A204,Itinerários_ES_por_transportadora_pdf[[Transportadora]:[Rota]],2,0),2)</f>
        <v>ES</v>
      </c>
      <c r="C204" s="4" t="b">
        <v>0</v>
      </c>
      <c r="D204" s="4" t="b">
        <v>1</v>
      </c>
      <c r="E204" s="3"/>
      <c r="F204" s="1" t="b">
        <f>IF(C204=FALSE,FALSE,TRUE)</f>
        <v>0</v>
      </c>
    </row>
    <row r="205" spans="1:6">
      <c r="A205" s="3" t="str">
        <f>VLOOKUP('Itinerários RJ por transportado'!A642,'Itinerários RJ por transportado'!A:A,1,0)</f>
        <v>TRANSMAGNA TRANSPORTES LTDA</v>
      </c>
      <c r="B205" s="3" t="str">
        <f>LEFT(VLOOKUP(A205,Itinerários_RJ_por_transportadora_pdf[[Transportadora]:[Rota]],2,0),2)</f>
        <v>RJ</v>
      </c>
      <c r="C205" s="4" t="b">
        <v>0</v>
      </c>
      <c r="D205" s="4" t="b">
        <v>1</v>
      </c>
      <c r="E205" s="3"/>
      <c r="F205" s="1" t="b">
        <f>IF(C205=FALSE,FALSE,TRUE)</f>
        <v>0</v>
      </c>
    </row>
    <row r="206" spans="1:6">
      <c r="A206" s="3" t="str">
        <f>VLOOKUP('Itinerários MG por transportado'!A35,'Itinerários MG por transportado'!A:A,1,0)</f>
        <v>TRANSMARONI TRANSPORTES BRASIL RODOVIARIOS LTDA MG02</v>
      </c>
      <c r="B206" s="3" t="str">
        <f>LEFT(VLOOKUP(A206,'Itinerários MG por transportado'!A:B,2,0),2)</f>
        <v/>
      </c>
      <c r="C206" s="4" t="b">
        <v>0</v>
      </c>
      <c r="D206" s="4" t="b">
        <v>1</v>
      </c>
      <c r="E206" s="3"/>
      <c r="F206" s="1" t="b">
        <f>IF(C206=FALSE,FALSE,TRUE)</f>
        <v>0</v>
      </c>
    </row>
    <row r="207" spans="1:6">
      <c r="A207" s="3" t="str">
        <f>VLOOKUP('Itinerários RJ por transportado'!A22,'Itinerários RJ por transportado'!A:A,1,0)</f>
        <v>TRANSMARONI TRANSPORTES BRASIL RODOVIARIOS LTDA RJ03</v>
      </c>
      <c r="B207" s="3" t="str">
        <f>LEFT(VLOOKUP(A207,Itinerários_RJ_por_transportadora_pdf[[Transportadora]:[Rota]],2,0),2)</f>
        <v/>
      </c>
      <c r="C207" s="4" t="b">
        <v>0</v>
      </c>
      <c r="D207" s="4" t="b">
        <v>1</v>
      </c>
      <c r="E207" s="3"/>
      <c r="F207" s="1" t="b">
        <f>IF(C207=FALSE,FALSE,TRUE)</f>
        <v>0</v>
      </c>
    </row>
    <row r="208" spans="1:6">
      <c r="A208" s="3" t="str">
        <f>VLOOKUP('Itinerários RJ por transportado'!A23,'Itinerários RJ por transportado'!A:A,1,0)</f>
        <v>TRANSMARONI TRANSPORTES BRASIL RODOVIARIOS LTDA RJ03FIXO</v>
      </c>
      <c r="B208" s="3" t="str">
        <f>LEFT(VLOOKUP(A208,Itinerários_RJ_por_transportadora_pdf[[Transportadora]:[Rota]],2,0),2)</f>
        <v/>
      </c>
      <c r="C208" s="4" t="b">
        <v>0</v>
      </c>
      <c r="D208" s="4" t="b">
        <v>1</v>
      </c>
      <c r="E208" s="3"/>
      <c r="F208" s="1" t="b">
        <f>IF(C208=FALSE,FALSE,TRUE)</f>
        <v>0</v>
      </c>
    </row>
    <row r="209" spans="1:6">
      <c r="A209" s="3" t="str">
        <f>VLOOKUP('Itinerários por transportadora '!A22,'Itinerários por transportadora '!A:A,1,0)</f>
        <v>TRANSPORTADORA ALMEIDA DE MARILIA LTDA</v>
      </c>
      <c r="B209" s="3" t="str">
        <f>LEFT(VLOOKUP(A209,'Itinerários por transportadora '!A:B,2,0),2)</f>
        <v>SP</v>
      </c>
      <c r="C209" s="4" t="b">
        <v>0</v>
      </c>
      <c r="D209" s="4" t="b">
        <v>1</v>
      </c>
      <c r="E209" s="3"/>
      <c r="F209" s="1" t="b">
        <f>IF(C209=FALSE,FALSE,TRUE)</f>
        <v>0</v>
      </c>
    </row>
    <row r="210" spans="1:6">
      <c r="A210" s="3" t="str">
        <f>VLOOKUP('Itinerários RJ por transportado'!A3,'Itinerários RJ por transportado'!A:A,1,0)</f>
        <v>TRANSPORTADORA ALMEIDA DE MARILIA LTDA</v>
      </c>
      <c r="B210" s="3" t="str">
        <f>LEFT(VLOOKUP(A210,Itinerários_RJ_por_transportadora_pdf[[Transportadora]:[Rota]],2,0),2)</f>
        <v>RJ</v>
      </c>
      <c r="C210" s="4" t="b">
        <v>0</v>
      </c>
      <c r="D210" s="4" t="b">
        <v>1</v>
      </c>
      <c r="E210" s="3"/>
      <c r="F210" s="1" t="b">
        <f>IF(C210=FALSE,FALSE,TRUE)</f>
        <v>0</v>
      </c>
    </row>
    <row r="211" spans="1:6">
      <c r="A211" s="3" t="str">
        <f>VLOOKUP('Itinerários MG por transportado'!A3,'Itinerários MG por transportado'!A:A,1,0)</f>
        <v>TRANSPORTADORA ALMEIDA DE MARILIA LTDA</v>
      </c>
      <c r="B211" s="3" t="str">
        <f>LEFT(VLOOKUP(A211,'Itinerários MG por transportado'!A:B,2,0),2)</f>
        <v>MG</v>
      </c>
      <c r="C211" s="4" t="b">
        <v>0</v>
      </c>
      <c r="D211" s="4" t="b">
        <v>1</v>
      </c>
      <c r="E211" s="3"/>
      <c r="F211" s="1" t="b">
        <f>IF(C211=FALSE,FALSE,TRUE)</f>
        <v>0</v>
      </c>
    </row>
    <row r="212" spans="1:6">
      <c r="A212" s="3" t="str">
        <f>VLOOKUP('Itinerários por transportadora '!A654,'Itinerários por transportadora '!A:A,1,0)</f>
        <v>TRANSPORTADORA AZEVEDO</v>
      </c>
      <c r="B212" s="3" t="str">
        <f>LEFT(VLOOKUP(A212,'Itinerários por transportadora '!A:B,2,0),2)</f>
        <v>SP</v>
      </c>
      <c r="C212" s="4" t="b">
        <v>0</v>
      </c>
      <c r="D212" s="4" t="b">
        <v>1</v>
      </c>
      <c r="E212" s="3"/>
      <c r="F212" s="1" t="b">
        <f>IF(C212=FALSE,FALSE,TRUE)</f>
        <v>0</v>
      </c>
    </row>
    <row r="213" spans="1:6">
      <c r="A213" s="3" t="str">
        <f>VLOOKUP('Itinerários RJ por transportado'!A298,'Itinerários RJ por transportado'!A:A,1,0)</f>
        <v>TRANSPORTADORA AZEVEDO</v>
      </c>
      <c r="B213" s="3" t="str">
        <f>LEFT(VLOOKUP(A213,Itinerários_RJ_por_transportadora_pdf[[Transportadora]:[Rota]],2,0),2)</f>
        <v>RJ</v>
      </c>
      <c r="C213" s="4" t="b">
        <v>0</v>
      </c>
      <c r="D213" s="4" t="b">
        <v>1</v>
      </c>
      <c r="E213" s="3"/>
      <c r="F213" s="1" t="b">
        <f>IF(C213=FALSE,FALSE,TRUE)</f>
        <v>0</v>
      </c>
    </row>
    <row r="214" spans="1:6">
      <c r="A214" s="3" t="str">
        <f>VLOOKUP('Itinerários ES por transportado'!A138,'Itinerários ES por transportado'!A:A,1,0)</f>
        <v>TRANSPORTADORA AZEVEDO</v>
      </c>
      <c r="B214" s="3" t="str">
        <f>LEFT(VLOOKUP(A214,Itinerários_ES_por_transportadora_pdf[[Transportadora]:[Rota]],2,0),2)</f>
        <v>ES</v>
      </c>
      <c r="C214" s="4" t="b">
        <v>0</v>
      </c>
      <c r="D214" s="4" t="b">
        <v>1</v>
      </c>
      <c r="E214" s="3"/>
      <c r="F214" s="1" t="b">
        <f>IF(C214=FALSE,FALSE,TRUE)</f>
        <v>0</v>
      </c>
    </row>
    <row r="215" spans="1:6">
      <c r="A215" s="3" t="str">
        <f>VLOOKUP('Itinerários MG por transportado'!A502,'Itinerários MG por transportado'!A:A,1,0)</f>
        <v>TRANSPORTADORA AZEVEDO</v>
      </c>
      <c r="B215" s="3" t="str">
        <f>LEFT(VLOOKUP(A215,'Itinerários MG por transportado'!A:B,2,0),2)</f>
        <v>MG</v>
      </c>
      <c r="C215" s="4" t="b">
        <v>0</v>
      </c>
      <c r="D215" s="4" t="b">
        <v>1</v>
      </c>
      <c r="E215" s="3"/>
      <c r="F215" s="1" t="b">
        <f>IF(C215=FALSE,FALSE,TRUE)</f>
        <v>0</v>
      </c>
    </row>
    <row r="216" spans="1:6">
      <c r="A216" s="3" t="str">
        <f>VLOOKUP('Itinerários RJ por transportado'!A575,'Itinerários RJ por transportado'!A:A,1,0)</f>
        <v>TRANSPORTADORA BASAN LTDA</v>
      </c>
      <c r="B216" s="3" t="str">
        <f>LEFT(VLOOKUP(A216,Itinerários_RJ_por_transportadora_pdf[[Transportadora]:[Rota]],2,0),2)</f>
        <v>RJ</v>
      </c>
      <c r="C216" s="4" t="b">
        <v>0</v>
      </c>
      <c r="D216" s="4" t="b">
        <v>1</v>
      </c>
      <c r="E216" s="3"/>
      <c r="F216" s="1" t="b">
        <f>IF(C216=FALSE,FALSE,TRUE)</f>
        <v>0</v>
      </c>
    </row>
    <row r="217" spans="1:6">
      <c r="A217" s="3" t="str">
        <f>VLOOKUP('Itinerários ES por transportado'!A262,'Itinerários ES por transportado'!A:A,1,0)</f>
        <v>TRANSPORTADORA BASAN LTDA</v>
      </c>
      <c r="B217" s="3" t="str">
        <f>LEFT(VLOOKUP(A217,Itinerários_ES_por_transportadora_pdf[[Transportadora]:[Rota]],2,0),2)</f>
        <v>ES</v>
      </c>
      <c r="C217" s="4" t="b">
        <v>0</v>
      </c>
      <c r="D217" s="4" t="b">
        <v>1</v>
      </c>
      <c r="E217" s="3"/>
      <c r="F217" s="1" t="b">
        <f>IF(C217=FALSE,FALSE,TRUE)</f>
        <v>0</v>
      </c>
    </row>
    <row r="218" spans="1:6">
      <c r="A218" s="3" t="str">
        <f>VLOOKUP('Itinerários MG por transportado'!A972,'Itinerários MG por transportado'!A:A,1,0)</f>
        <v>TRANSPORTADORA BASAN LTDA</v>
      </c>
      <c r="B218" s="3" t="str">
        <f>LEFT(VLOOKUP(A218,'Itinerários MG por transportado'!A:B,2,0),2)</f>
        <v>MG</v>
      </c>
      <c r="C218" s="4" t="b">
        <v>0</v>
      </c>
      <c r="D218" s="4" t="b">
        <v>1</v>
      </c>
      <c r="E218" s="3"/>
      <c r="F218" s="1" t="b">
        <f>IF(C218=FALSE,FALSE,TRUE)</f>
        <v>0</v>
      </c>
    </row>
    <row r="219" spans="1:6">
      <c r="A219" s="3" t="str">
        <f>VLOOKUP('Itinerários por transportadora '!A188,'Itinerários por transportadora '!A:A,1,0)</f>
        <v>TRANSPORTADORA GRAVENA</v>
      </c>
      <c r="B219" s="3" t="str">
        <f>LEFT(VLOOKUP(A219,'Itinerários por transportadora '!A:B,2,0),2)</f>
        <v>SP</v>
      </c>
      <c r="C219" s="4" t="b">
        <v>0</v>
      </c>
      <c r="D219" s="4" t="b">
        <v>1</v>
      </c>
      <c r="E219" s="3"/>
      <c r="F219" s="1" t="b">
        <f>IF(C219=FALSE,FALSE,TRUE)</f>
        <v>0</v>
      </c>
    </row>
    <row r="220" spans="1:6">
      <c r="A220" s="3" t="str">
        <f>VLOOKUP('Itinerários RJ por transportado'!A44,'Itinerários RJ por transportado'!A:A,1,0)</f>
        <v>TRANSPORTADORA GRAVENA</v>
      </c>
      <c r="B220" s="3" t="str">
        <f>LEFT(VLOOKUP(A220,Itinerários_RJ_por_transportadora_pdf[[Transportadora]:[Rota]],2,0),2)</f>
        <v>RJ</v>
      </c>
      <c r="C220" s="4" t="b">
        <v>0</v>
      </c>
      <c r="D220" s="4" t="b">
        <v>1</v>
      </c>
      <c r="E220" s="3"/>
      <c r="F220" s="1" t="b">
        <f>IF(C220=FALSE,FALSE,TRUE)</f>
        <v>0</v>
      </c>
    </row>
    <row r="221" spans="1:6">
      <c r="A221" s="3" t="str">
        <f>VLOOKUP('Itinerários ES por transportado'!A21,'Itinerários ES por transportado'!A:A,1,0)</f>
        <v>TRANSPORTADORA GRAVENA</v>
      </c>
      <c r="B221" s="3" t="str">
        <f>LEFT(VLOOKUP(A221,Itinerários_ES_por_transportadora_pdf[[Transportadora]:[Rota]],2,0),2)</f>
        <v>ES</v>
      </c>
      <c r="C221" s="4" t="b">
        <v>0</v>
      </c>
      <c r="D221" s="4" t="b">
        <v>1</v>
      </c>
      <c r="E221" s="3"/>
      <c r="F221" s="1" t="b">
        <f>IF(C221=FALSE,FALSE,TRUE)</f>
        <v>0</v>
      </c>
    </row>
    <row r="222" spans="1:6">
      <c r="A222" s="3" t="str">
        <f>VLOOKUP('Itinerários MG por transportado'!A71,'Itinerários MG por transportado'!A:A,1,0)</f>
        <v>TRANSPORTADORA GRAVENA</v>
      </c>
      <c r="B222" s="3" t="str">
        <f>LEFT(VLOOKUP(A222,'Itinerários MG por transportado'!A:B,2,0),2)</f>
        <v>MG</v>
      </c>
      <c r="C222" s="4" t="b">
        <v>0</v>
      </c>
      <c r="D222" s="4" t="b">
        <v>1</v>
      </c>
      <c r="E222" s="3"/>
      <c r="F222" s="1" t="b">
        <f>IF(C222=FALSE,FALSE,TRUE)</f>
        <v>0</v>
      </c>
    </row>
    <row r="223" spans="1:6">
      <c r="A223" s="3" t="str">
        <f>VLOOKUP('Itinerários por transportadora '!A592,'Itinerários por transportadora '!A:A,1,0)</f>
        <v>V GOVEIA RODRIGUES TRANSPORTES EIRELI</v>
      </c>
      <c r="B223" s="3" t="str">
        <f>LEFT(VLOOKUP(A223,'Itinerários por transportadora '!A:B,2,0),2)</f>
        <v>SP</v>
      </c>
      <c r="C223" s="4" t="b">
        <v>0</v>
      </c>
      <c r="D223" s="4" t="b">
        <v>1</v>
      </c>
      <c r="E223" s="3"/>
      <c r="F223" s="1" t="b">
        <f>IF(C223=FALSE,FALSE,TRUE)</f>
        <v>0</v>
      </c>
    </row>
    <row r="224" spans="1:6">
      <c r="A224" s="3" t="str">
        <f>VLOOKUP('Itinerários RJ por transportado'!A265,'Itinerários RJ por transportado'!A:A,1,0)</f>
        <v>V GOVEIA RODRIGUES TRANSPORTES EIRELI</v>
      </c>
      <c r="B224" s="3" t="str">
        <f>LEFT(VLOOKUP(A224,Itinerários_RJ_por_transportadora_pdf[[Transportadora]:[Rota]],2,0),2)</f>
        <v>RJ</v>
      </c>
      <c r="C224" s="4" t="b">
        <v>0</v>
      </c>
      <c r="D224" s="4" t="b">
        <v>1</v>
      </c>
      <c r="E224" s="3"/>
      <c r="F224" s="1" t="b">
        <f>IF(C224=FALSE,FALSE,TRUE)</f>
        <v>0</v>
      </c>
    </row>
    <row r="225" spans="1:6">
      <c r="A225" s="3" t="str">
        <f>VLOOKUP('Itinerários ES por transportado'!A121,'Itinerários ES por transportado'!A:A,1,0)</f>
        <v>V GOVEIA RODRIGUES TRANSPORTES EIRELI</v>
      </c>
      <c r="B225" s="3" t="str">
        <f>LEFT(VLOOKUP(A225,Itinerários_ES_por_transportadora_pdf[[Transportadora]:[Rota]],2,0),2)</f>
        <v>ES</v>
      </c>
      <c r="C225" s="4" t="b">
        <v>0</v>
      </c>
      <c r="D225" s="4" t="b">
        <v>1</v>
      </c>
      <c r="E225" s="3"/>
      <c r="F225" s="1" t="b">
        <f>IF(C225=FALSE,FALSE,TRUE)</f>
        <v>0</v>
      </c>
    </row>
    <row r="226" spans="1:6">
      <c r="A226" s="3" t="str">
        <f>VLOOKUP('Itinerários MG por transportado'!A442,'Itinerários MG por transportado'!A:A,1,0)</f>
        <v>V GOVEIA RODRIGUES TRANSPORTES EIRELI</v>
      </c>
      <c r="B226" s="3" t="str">
        <f>LEFT(VLOOKUP(A226,'Itinerários MG por transportado'!A:B,2,0),2)</f>
        <v>MG</v>
      </c>
      <c r="C226" s="4" t="b">
        <v>0</v>
      </c>
      <c r="D226" s="4" t="b">
        <v>1</v>
      </c>
      <c r="E226" s="3"/>
      <c r="F226" s="1" t="b">
        <f>IF(C226=FALSE,FALSE,TRUE)</f>
        <v>0</v>
      </c>
    </row>
    <row r="227" spans="1:6">
      <c r="A227" s="3" t="str">
        <f>VLOOKUP('Itinerários RJ por transportado'!A500,'Itinerários RJ por transportado'!A:A,1,0)</f>
        <v>VALDEIR GULINO DIOGO 05059025837</v>
      </c>
      <c r="B227" s="3" t="str">
        <f>LEFT(VLOOKUP(A227,Itinerários_RJ_por_transportadora_pdf[[Transportadora]:[Rota]],2,0),2)</f>
        <v>RJ</v>
      </c>
      <c r="C227" s="4" t="b">
        <v>0</v>
      </c>
      <c r="D227" s="4" t="b">
        <v>1</v>
      </c>
      <c r="E227" s="3"/>
      <c r="F227" s="1" t="b">
        <f>IF(C227=FALSE,FALSE,TRUE)</f>
        <v>0</v>
      </c>
    </row>
    <row r="228" spans="1:6">
      <c r="A228" s="3" t="str">
        <f>VLOOKUP('Itinerários ES por transportado'!A227,'Itinerários ES por transportado'!A:A,1,0)</f>
        <v>VALDEIR GULINO DIOGO 05059025837</v>
      </c>
      <c r="B228" s="3" t="str">
        <f>LEFT(VLOOKUP(A228,Itinerários_ES_por_transportadora_pdf[[Transportadora]:[Rota]],2,0),2)</f>
        <v>ES</v>
      </c>
      <c r="C228" s="4" t="b">
        <v>0</v>
      </c>
      <c r="D228" s="4" t="b">
        <v>1</v>
      </c>
      <c r="E228" s="3"/>
      <c r="F228" s="1" t="b">
        <f>IF(C228=FALSE,FALSE,TRUE)</f>
        <v>0</v>
      </c>
    </row>
    <row r="229" spans="1:6">
      <c r="A229" s="3" t="str">
        <f>VLOOKUP('Itinerários MG por transportado'!A844,'Itinerários MG por transportado'!A:A,1,0)</f>
        <v>VALDEIR GULINO DIOGO 05059025837</v>
      </c>
      <c r="B229" s="3" t="str">
        <f>LEFT(VLOOKUP(A229,'Itinerários MG por transportado'!A:B,2,0),2)</f>
        <v>MG</v>
      </c>
      <c r="C229" s="4" t="b">
        <v>0</v>
      </c>
      <c r="D229" s="4" t="b">
        <v>1</v>
      </c>
      <c r="E229" s="3"/>
      <c r="F229" s="1" t="b">
        <f>IF(C229=FALSE,FALSE,TRUE)</f>
        <v>0</v>
      </c>
    </row>
    <row r="230" spans="1:6">
      <c r="A230" s="3" t="str">
        <f>VLOOKUP('Itinerários por transportadora '!A751,'Itinerários por transportadora '!A:A,1,0)</f>
        <v>VALMIR GARCIA TRANSPORTES</v>
      </c>
      <c r="B230" s="3" t="str">
        <f>LEFT(VLOOKUP(A230,'Itinerários por transportadora '!A:B,2,0),2)</f>
        <v>SP</v>
      </c>
      <c r="C230" s="4" t="b">
        <v>0</v>
      </c>
      <c r="D230" s="4" t="b">
        <v>1</v>
      </c>
      <c r="E230" s="3"/>
      <c r="F230" s="1" t="b">
        <f>IF(C230=FALSE,FALSE,TRUE)</f>
        <v>0</v>
      </c>
    </row>
    <row r="231" spans="1:6">
      <c r="A231" s="3" t="str">
        <f>VLOOKUP('Itinerários RJ por transportado'!A348,'Itinerários RJ por transportado'!A:A,1,0)</f>
        <v>VALMIR GARCIA TRANSPORTES</v>
      </c>
      <c r="B231" s="3" t="str">
        <f>LEFT(VLOOKUP(A231,Itinerários_RJ_por_transportadora_pdf[[Transportadora]:[Rota]],2,0),2)</f>
        <v>RJ</v>
      </c>
      <c r="C231" s="4" t="b">
        <v>0</v>
      </c>
      <c r="D231" s="4" t="b">
        <v>1</v>
      </c>
      <c r="E231" s="3"/>
      <c r="F231" s="1" t="b">
        <f>IF(C231=FALSE,FALSE,TRUE)</f>
        <v>0</v>
      </c>
    </row>
    <row r="232" spans="1:6">
      <c r="A232" s="3" t="str">
        <f>VLOOKUP('Itinerários ES por transportado'!A158,'Itinerários ES por transportado'!A:A,1,0)</f>
        <v>VALMIR GARCIA TRANSPORTES</v>
      </c>
      <c r="B232" s="3" t="str">
        <f>LEFT(VLOOKUP(A232,Itinerários_ES_por_transportadora_pdf[[Transportadora]:[Rota]],2,0),2)</f>
        <v>ES</v>
      </c>
      <c r="C232" s="4" t="b">
        <v>0</v>
      </c>
      <c r="D232" s="4" t="b">
        <v>1</v>
      </c>
      <c r="E232" s="3"/>
      <c r="F232" s="1" t="b">
        <f>IF(C232=FALSE,FALSE,TRUE)</f>
        <v>0</v>
      </c>
    </row>
    <row r="233" spans="1:6">
      <c r="A233" s="3" t="str">
        <f>VLOOKUP('Itinerários MG por transportado'!A588,'Itinerários MG por transportado'!A:A,1,0)</f>
        <v>VALMIR GARCIA TRANSPORTES</v>
      </c>
      <c r="B233" s="3" t="str">
        <f>LEFT(VLOOKUP(A233,'Itinerários MG por transportado'!A:B,2,0),2)</f>
        <v>MG</v>
      </c>
      <c r="C233" s="4" t="b">
        <v>0</v>
      </c>
      <c r="D233" s="4" t="b">
        <v>1</v>
      </c>
      <c r="E233" s="3"/>
      <c r="F233" s="1" t="b">
        <f>IF(C233=FALSE,FALSE,TRUE)</f>
        <v>0</v>
      </c>
    </row>
    <row r="234" spans="1:6">
      <c r="A234" s="3" t="str">
        <f>VLOOKUP('Itinerários por transportadora '!A468,'Itinerários por transportadora '!A:A,1,0)</f>
        <v>WILSON TRANSPORTES</v>
      </c>
      <c r="B234" s="3" t="str">
        <f>LEFT(VLOOKUP(A234,'Itinerários por transportadora '!A:B,2,0),2)</f>
        <v>SP</v>
      </c>
      <c r="C234" s="4" t="b">
        <v>0</v>
      </c>
      <c r="D234" s="4" t="b">
        <v>1</v>
      </c>
      <c r="E234" s="3"/>
      <c r="F234" s="1" t="b">
        <f>IF(C234=FALSE,FALSE,TRUE)</f>
        <v>0</v>
      </c>
    </row>
    <row r="235" spans="1:6">
      <c r="A235" s="3" t="str">
        <f>VLOOKUP('Itinerários RJ por transportado'!A198,'Itinerários RJ por transportado'!A:A,1,0)</f>
        <v>WILSON TRANSPORTES</v>
      </c>
      <c r="B235" s="3" t="str">
        <f>LEFT(VLOOKUP(A235,Itinerários_RJ_por_transportadora_pdf[[Transportadora]:[Rota]],2,0),2)</f>
        <v>RJ</v>
      </c>
      <c r="C235" s="4" t="b">
        <v>0</v>
      </c>
      <c r="D235" s="4" t="b">
        <v>1</v>
      </c>
      <c r="E235" s="3"/>
      <c r="F235" s="1" t="b">
        <f>IF(C235=FALSE,FALSE,TRUE)</f>
        <v>0</v>
      </c>
    </row>
    <row r="236" spans="1:6">
      <c r="A236" s="3" t="str">
        <f>VLOOKUP('Itinerários ES por transportado'!A89,'Itinerários ES por transportado'!A:A,1,0)</f>
        <v>WILSON TRANSPORTES</v>
      </c>
      <c r="B236" s="3" t="str">
        <f>LEFT(VLOOKUP(A236,Itinerários_ES_por_transportadora_pdf[[Transportadora]:[Rota]],2,0),2)</f>
        <v>ES</v>
      </c>
      <c r="C236" s="4" t="b">
        <v>0</v>
      </c>
      <c r="D236" s="4" t="b">
        <v>1</v>
      </c>
      <c r="E236" s="3"/>
      <c r="F236" s="1" t="b">
        <f>IF(C236=FALSE,FALSE,TRUE)</f>
        <v>0</v>
      </c>
    </row>
    <row r="237" spans="1:6">
      <c r="A237" s="3" t="str">
        <f>VLOOKUP('Itinerários MG por transportado'!A331,'Itinerários MG por transportado'!A:A,1,0)</f>
        <v>WILSON TRANSPORTES</v>
      </c>
      <c r="B237" s="3" t="str">
        <f>LEFT(VLOOKUP(A237,'Itinerários MG por transportado'!A:B,2,0),2)</f>
        <v>MG</v>
      </c>
      <c r="C237" s="4" t="b">
        <v>0</v>
      </c>
      <c r="D237" s="4" t="b">
        <v>1</v>
      </c>
      <c r="E237" s="3"/>
      <c r="F237" s="1" t="b">
        <f>IF(C237=FALSE,FALSE,TRUE)</f>
        <v>0</v>
      </c>
    </row>
    <row r="238" spans="1:6">
      <c r="A238" s="3" t="str">
        <f>VLOOKUP('Itinerários por transportadora '!A543,'Itinerários por transportadora '!A:A,1,0)</f>
        <v>ZONER E ZONER LTDA</v>
      </c>
      <c r="B238" s="3" t="str">
        <f>LEFT(VLOOKUP(A238,'Itinerários por transportadora '!A:B,2,0),2)</f>
        <v>SP</v>
      </c>
      <c r="C238" s="4" t="b">
        <v>0</v>
      </c>
      <c r="D238" s="4" t="b">
        <v>1</v>
      </c>
      <c r="E238" s="3"/>
      <c r="F238" s="1" t="b">
        <f>IF(C238=FALSE,FALSE,TRUE)</f>
        <v>0</v>
      </c>
    </row>
    <row r="239" spans="1:6">
      <c r="A239" s="3" t="str">
        <f>VLOOKUP('Itinerários RJ por transportado'!A238,'Itinerários RJ por transportado'!A:A,1,0)</f>
        <v>ZONER E ZONER LTDA</v>
      </c>
      <c r="B239" s="3" t="str">
        <f>LEFT(VLOOKUP(A239,Itinerários_RJ_por_transportadora_pdf[[Transportadora]:[Rota]],2,0),2)</f>
        <v>RJ</v>
      </c>
      <c r="C239" s="4" t="b">
        <v>0</v>
      </c>
      <c r="D239" s="4" t="b">
        <v>1</v>
      </c>
      <c r="E239" s="3"/>
      <c r="F239" s="1" t="b">
        <f>IF(C239=FALSE,FALSE,TRUE)</f>
        <v>0</v>
      </c>
    </row>
    <row r="240" spans="1:6">
      <c r="A240" s="3" t="str">
        <f>VLOOKUP('Itinerários ES por transportado'!A105,'Itinerários ES por transportado'!A:A,1,0)</f>
        <v>ZONER E ZONER LTDA</v>
      </c>
      <c r="B240" s="3" t="str">
        <f>LEFT(VLOOKUP(A240,Itinerários_ES_por_transportadora_pdf[[Transportadora]:[Rota]],2,0),2)</f>
        <v>ES</v>
      </c>
      <c r="C240" s="4" t="b">
        <v>0</v>
      </c>
      <c r="D240" s="4" t="b">
        <v>1</v>
      </c>
      <c r="E240" s="3"/>
      <c r="F240" s="1" t="b">
        <f>IF(C240=FALSE,FALSE,TRUE)</f>
        <v>0</v>
      </c>
    </row>
    <row r="241" spans="1:6">
      <c r="A241" s="3" t="str">
        <f>VLOOKUP('Itinerários MG por transportado'!A399,'Itinerários MG por transportado'!A:A,1,0)</f>
        <v>ZONER E ZONER LTDA</v>
      </c>
      <c r="B241" s="3" t="str">
        <f>LEFT(VLOOKUP(A241,'Itinerários MG por transportado'!A:B,2,0),2)</f>
        <v>MG</v>
      </c>
      <c r="C241" s="4" t="b">
        <v>0</v>
      </c>
      <c r="D241" s="4" t="b">
        <v>1</v>
      </c>
      <c r="E241" s="3"/>
      <c r="F241" s="1" t="b">
        <f>IF(C241=FALSE,FALSE,TRUE)</f>
        <v>0</v>
      </c>
    </row>
  </sheetData>
  <autoFilter ref="A1:E241" xr:uid="{C12DB3B5-6ABC-49A2-B8BB-7AC5A9D43ADD}"/>
  <sortState xmlns:xlrd2="http://schemas.microsoft.com/office/spreadsheetml/2017/richdata2" ref="A2:F241">
    <sortCondition ref="A2:A241"/>
  </sortState>
  <conditionalFormatting sqref="D2:D1000047">
    <cfRule type="expression" dxfId="2" priority="1">
      <formula>F2=TRUE</formula>
    </cfRule>
    <cfRule type="expression" dxfId="1" priority="5">
      <formula>IF(F2=FALSE,TRUE,FALSE)</formula>
    </cfRule>
  </conditionalFormatting>
  <conditionalFormatting sqref="C2:C241">
    <cfRule type="expression" priority="2">
      <formula>IF(D2=TRUE,FALSE,TRUE)</formula>
    </cfRule>
    <cfRule type="expression" dxfId="0" priority="4">
      <formula>IF(F2=TRUE,TRUE,FALSE)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1F1CF8-B368-4D12-9051-91D6EC3FE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Mariano / Projetos Logisticos</dc:creator>
  <cp:keywords/>
  <dc:description/>
  <cp:lastModifiedBy>Junior Mariano / Projetos Logisticos</cp:lastModifiedBy>
  <cp:revision/>
  <dcterms:created xsi:type="dcterms:W3CDTF">2026-02-25T18:34:57Z</dcterms:created>
  <dcterms:modified xsi:type="dcterms:W3CDTF">2026-02-25T20:57:29Z</dcterms:modified>
  <cp:category/>
  <cp:contentStatus/>
</cp:coreProperties>
</file>